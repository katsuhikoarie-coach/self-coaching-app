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マスタ" sheetId="1" state="visible" r:id="rId1"/>
    <sheet name="1月" sheetId="2" state="visible" r:id="rId2"/>
    <sheet name="2月" sheetId="3" state="visible" r:id="rId3"/>
    <sheet name="3月" sheetId="4" state="visible" r:id="rId4"/>
    <sheet name="4月" sheetId="5" state="visible" r:id="rId5"/>
    <sheet name="5月" sheetId="6" state="visible" r:id="rId6"/>
    <sheet name="6月" sheetId="7" state="visible" r:id="rId7"/>
    <sheet name="7月" sheetId="8" state="visible" r:id="rId8"/>
    <sheet name="8月" sheetId="9" state="visible" r:id="rId9"/>
    <sheet name="9月" sheetId="10" state="visible" r:id="rId10"/>
    <sheet name="10月" sheetId="11" state="visible" r:id="rId11"/>
    <sheet name="11月" sheetId="12" state="visible" r:id="rId12"/>
    <sheet name="12月" sheetId="13" state="visible" r:id="rId13"/>
    <sheet name="年間累計" sheetId="14" state="visible" r:id="rId14"/>
  </sheets>
  <definedNames>
    <definedName name="_xlnm.Print_Titles" localSheetId="1">'1月'!$1:$4</definedName>
    <definedName name="_xlnm.Print_Titles" localSheetId="2">'2月'!$1:$4</definedName>
    <definedName name="_xlnm.Print_Titles" localSheetId="3">'3月'!$1:$4</definedName>
    <definedName name="_xlnm.Print_Titles" localSheetId="4">'4月'!$1:$4</definedName>
    <definedName name="_xlnm.Print_Titles" localSheetId="5">'5月'!$1:$4</definedName>
    <definedName name="_xlnm.Print_Titles" localSheetId="6">'6月'!$1:$4</definedName>
    <definedName name="_xlnm.Print_Titles" localSheetId="7">'7月'!$1:$4</definedName>
    <definedName name="_xlnm.Print_Titles" localSheetId="8">'8月'!$1:$4</definedName>
    <definedName name="_xlnm.Print_Titles" localSheetId="9">'9月'!$1:$4</definedName>
    <definedName name="_xlnm.Print_Titles" localSheetId="10">'10月'!$1:$4</definedName>
    <definedName name="_xlnm.Print_Titles" localSheetId="11">'11月'!$1:$4</definedName>
    <definedName name="_xlnm.Print_Titles" localSheetId="12">'12月'!$1:$4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sz val="12"/>
    </font>
    <font>
      <name val="Arial"/>
      <b val="1"/>
      <sz val="14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EEEEEE"/>
        <bgColor rgb="00EEEEEE"/>
      </patternFill>
    </fill>
    <fill>
      <patternFill patternType="solid">
        <fgColor rgb="00BBDEFB"/>
        <bgColor rgb="00BBDEFB"/>
      </patternFill>
    </fill>
    <fill>
      <patternFill patternType="solid">
        <fgColor rgb="00DCEDC8"/>
        <bgColor rgb="00DCEDC8"/>
      </patternFill>
    </fill>
    <fill>
      <patternFill patternType="solid">
        <fgColor rgb="00FFCCBC"/>
        <bgColor rgb="00FFCCBC"/>
      </patternFill>
    </fill>
    <fill>
      <patternFill patternType="solid">
        <fgColor rgb="00E3F2FD"/>
        <bgColor rgb="00E3F2FD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7" borderId="1" pivotButton="0" quotePrefix="0" xfId="0"/>
    <xf numFmtId="3" fontId="2" fillId="7" borderId="1" pivotButton="0" quotePrefix="0" xfId="0"/>
    <xf numFmtId="3" fontId="2" fillId="0" borderId="1" pivotButton="0" quotePrefix="0" xfId="0"/>
    <xf numFmtId="3" fontId="1" fillId="6" borderId="1" pivotButton="0" quotePrefix="0" xfId="0"/>
    <xf numFmtId="0" fontId="1" fillId="6" borderId="1" applyAlignment="1" pivotButton="0" quotePrefix="0" xfId="0">
      <alignment horizontal="center" vertical="center"/>
    </xf>
    <xf numFmtId="0" fontId="1" fillId="6" borderId="1" pivotButton="0" quotePrefix="0" xfId="0"/>
    <xf numFmtId="0" fontId="4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4" borderId="1" applyAlignment="1" pivotButton="0" quotePrefix="0" xfId="0">
      <alignment horizontal="left" vertical="center"/>
    </xf>
    <xf numFmtId="0" fontId="2" fillId="0" borderId="1" pivotButton="0" quotePrefix="0" xfId="0"/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従業員番号</t>
        </is>
      </c>
      <c r="B1" s="1" t="inlineStr">
        <is>
          <t>氏名</t>
        </is>
      </c>
      <c r="C1" s="1" t="inlineStr">
        <is>
          <t>所属</t>
        </is>
      </c>
      <c r="D1" s="1" t="inlineStr">
        <is>
          <t>基本給</t>
        </is>
      </c>
      <c r="E1" s="1" t="inlineStr">
        <is>
          <t>役職手当</t>
        </is>
      </c>
      <c r="F1" s="1" t="inlineStr">
        <is>
          <t>通勤手当</t>
        </is>
      </c>
    </row>
    <row r="2">
      <c r="A2" s="2" t="inlineStr">
        <is>
          <t>001</t>
        </is>
      </c>
      <c r="B2" s="3" t="inlineStr">
        <is>
          <t>山田 太郎</t>
        </is>
      </c>
      <c r="C2" s="3" t="inlineStr">
        <is>
          <t>営業部</t>
        </is>
      </c>
      <c r="D2" s="4" t="n">
        <v>350000</v>
      </c>
      <c r="E2" s="4" t="n">
        <v>30000</v>
      </c>
      <c r="F2" s="4" t="n">
        <v>15000</v>
      </c>
    </row>
    <row r="3">
      <c r="A3" s="2" t="inlineStr">
        <is>
          <t>002</t>
        </is>
      </c>
      <c r="B3" s="3" t="inlineStr">
        <is>
          <t>鈴木 花子</t>
        </is>
      </c>
      <c r="C3" s="3" t="inlineStr">
        <is>
          <t>経理部</t>
        </is>
      </c>
      <c r="D3" s="4" t="n">
        <v>280000</v>
      </c>
      <c r="E3" s="4" t="n">
        <v>0</v>
      </c>
      <c r="F3" s="4" t="n">
        <v>10000</v>
      </c>
    </row>
    <row r="4">
      <c r="A4" s="2" t="inlineStr">
        <is>
          <t>003</t>
        </is>
      </c>
      <c r="B4" s="3" t="inlineStr">
        <is>
          <t>田中 一郎</t>
        </is>
      </c>
      <c r="C4" s="3" t="inlineStr">
        <is>
          <t>総務部</t>
        </is>
      </c>
      <c r="D4" s="4" t="n">
        <v>320000</v>
      </c>
      <c r="E4" s="4" t="n">
        <v>20000</v>
      </c>
      <c r="F4" s="4" t="n">
        <v>12000</v>
      </c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12" customWidth="1" min="22" max="22"/>
  </cols>
  <sheetData>
    <row r="1" ht="26" customHeight="1">
      <c r="A1" s="6" t="inlineStr">
        <is>
          <t>給与台帳　1月分</t>
        </is>
      </c>
    </row>
    <row r="2" ht="18" customHeight="1">
      <c r="A2" s="7" t="inlineStr">
        <is>
          <t>会社名：株式会社サンプル</t>
        </is>
      </c>
      <c r="L2" s="8" t="inlineStr">
        <is>
          <t>作成日：2026年1月</t>
        </is>
      </c>
    </row>
    <row r="3" ht="30" customHeight="1">
      <c r="A3" s="1" t="inlineStr">
        <is>
          <t>基本情報</t>
        </is>
      </c>
      <c r="D3" s="1" t="inlineStr">
        <is>
          <t>勤　怠　情　報</t>
        </is>
      </c>
      <c r="I3" s="9" t="inlineStr">
        <is>
          <t>支　　給　　項　　目</t>
        </is>
      </c>
      <c r="O3" s="10" t="inlineStr">
        <is>
          <t>控　　除　　項　　目</t>
        </is>
      </c>
      <c r="V3" s="11" t="inlineStr">
        <is>
          <t>差引
支給額</t>
        </is>
      </c>
    </row>
    <row r="4" ht="30" customHeight="1">
      <c r="A4" s="12" t="inlineStr">
        <is>
          <t>従業員
番号</t>
        </is>
      </c>
      <c r="B4" s="12" t="inlineStr">
        <is>
          <t>氏名</t>
        </is>
      </c>
      <c r="C4" s="12" t="inlineStr">
        <is>
          <t>所属</t>
        </is>
      </c>
      <c r="D4" s="12" t="inlineStr">
        <is>
          <t>所定
労働日数</t>
        </is>
      </c>
      <c r="E4" s="12" t="inlineStr">
        <is>
          <t>出勤
日数</t>
        </is>
      </c>
      <c r="F4" s="12" t="inlineStr">
        <is>
          <t>欠勤
日数</t>
        </is>
      </c>
      <c r="G4" s="12" t="inlineStr">
        <is>
          <t>有給
取得日数</t>
        </is>
      </c>
      <c r="H4" s="12" t="inlineStr">
        <is>
          <t>残業
時間</t>
        </is>
      </c>
      <c r="I4" s="12" t="inlineStr">
        <is>
          <t>基本給</t>
        </is>
      </c>
      <c r="J4" s="12" t="inlineStr">
        <is>
          <t>役職
手当</t>
        </is>
      </c>
      <c r="K4" s="12" t="inlineStr">
        <is>
          <t>残業
手当</t>
        </is>
      </c>
      <c r="L4" s="12" t="inlineStr">
        <is>
          <t>通勤
手当</t>
        </is>
      </c>
      <c r="M4" s="12" t="inlineStr">
        <is>
          <t>その他
手当</t>
        </is>
      </c>
      <c r="N4" s="11" t="inlineStr">
        <is>
          <t>支給
合計</t>
        </is>
      </c>
      <c r="O4" s="12" t="inlineStr">
        <is>
          <t>健康
保険</t>
        </is>
      </c>
      <c r="P4" s="12" t="inlineStr">
        <is>
          <t>厚生
年金</t>
        </is>
      </c>
      <c r="Q4" s="12" t="inlineStr">
        <is>
          <t>雇用
保険</t>
        </is>
      </c>
      <c r="R4" s="12" t="inlineStr">
        <is>
          <t>所得税</t>
        </is>
      </c>
      <c r="S4" s="12" t="inlineStr">
        <is>
          <t>住民税</t>
        </is>
      </c>
      <c r="T4" s="12" t="inlineStr">
        <is>
          <t>その他
控除</t>
        </is>
      </c>
      <c r="U4" s="11" t="inlineStr">
        <is>
          <t>控除
合計</t>
        </is>
      </c>
      <c r="V4" s="11" t="inlineStr">
        <is>
          <t>差引
支給額</t>
        </is>
      </c>
    </row>
    <row r="5" ht="18" customHeight="1">
      <c r="A5" s="13" t="inlineStr">
        <is>
          <t>001</t>
        </is>
      </c>
      <c r="B5" s="14">
        <f>IF(A5="","",IFERROR(VLOOKUP(A5,'マスタ'!$A:$F,2,FALSE),""))</f>
        <v/>
      </c>
      <c r="C5" s="14">
        <f>IF(A5="","",IFERROR(VLOOKUP(A5,'マスタ'!$A:$F,3,FALSE),""))</f>
        <v/>
      </c>
      <c r="D5" s="2" t="n">
        <v>20</v>
      </c>
      <c r="E5" s="2" t="n">
        <v>20</v>
      </c>
      <c r="F5" s="2" t="n">
        <v>0</v>
      </c>
      <c r="G5" s="2" t="n">
        <v>0</v>
      </c>
      <c r="H5" s="2" t="n">
        <v>10</v>
      </c>
      <c r="I5" s="15">
        <f>IF(A5="",0,IFERROR(VLOOKUP(A5,'マスタ'!$A:$F,4,FALSE),0))</f>
        <v/>
      </c>
      <c r="J5" s="15">
        <f>IF(A5="",0,IFERROR(VLOOKUP(A5,'マスタ'!$A:$F,5,FALSE),0))</f>
        <v/>
      </c>
      <c r="K5" s="15">
        <f>IF(A5="",0,ROUND(I5/160*1.25*H5,0))</f>
        <v/>
      </c>
      <c r="L5" s="15">
        <f>IF(A5="",0,IFERROR(VLOOKUP(A5,'マスタ'!$A:$F,6,FALSE),0))</f>
        <v/>
      </c>
      <c r="M5" s="16" t="n">
        <v>0</v>
      </c>
      <c r="N5" s="17">
        <f>SUM(I5:M5)</f>
        <v/>
      </c>
      <c r="O5" s="16" t="n">
        <v>17500</v>
      </c>
      <c r="P5" s="16" t="n">
        <v>32490</v>
      </c>
      <c r="Q5" s="16" t="n">
        <v>2100</v>
      </c>
      <c r="R5" s="16" t="n">
        <v>8500</v>
      </c>
      <c r="S5" s="16" t="n">
        <v>12000</v>
      </c>
      <c r="T5" s="16" t="n">
        <v>0</v>
      </c>
      <c r="U5" s="17">
        <f>SUM(O5:T5)</f>
        <v/>
      </c>
      <c r="V5" s="17">
        <f>N5-U5</f>
        <v/>
      </c>
    </row>
    <row r="6" ht="18" customHeight="1">
      <c r="A6" s="13" t="inlineStr">
        <is>
          <t>002</t>
        </is>
      </c>
      <c r="B6" s="14">
        <f>IF(A6="","",IFERROR(VLOOKUP(A6,'マスタ'!$A:$F,2,FALSE),""))</f>
        <v/>
      </c>
      <c r="C6" s="14">
        <f>IF(A6="","",IFERROR(VLOOKUP(A6,'マスタ'!$A:$F,3,FALSE),""))</f>
        <v/>
      </c>
      <c r="D6" s="2" t="n">
        <v>20</v>
      </c>
      <c r="E6" s="2" t="n">
        <v>19</v>
      </c>
      <c r="F6" s="2" t="n">
        <v>1</v>
      </c>
      <c r="G6" s="2" t="n">
        <v>1</v>
      </c>
      <c r="H6" s="2" t="n">
        <v>5</v>
      </c>
      <c r="I6" s="15">
        <f>IF(A6="",0,IFERROR(VLOOKUP(A6,'マスタ'!$A:$F,4,FALSE),0))</f>
        <v/>
      </c>
      <c r="J6" s="15">
        <f>IF(A6="",0,IFERROR(VLOOKUP(A6,'マスタ'!$A:$F,5,FALSE),0))</f>
        <v/>
      </c>
      <c r="K6" s="15">
        <f>IF(A6="",0,ROUND(I6/160*1.25*H6,0))</f>
        <v/>
      </c>
      <c r="L6" s="15">
        <f>IF(A6="",0,IFERROR(VLOOKUP(A6,'マスタ'!$A:$F,6,FALSE),0))</f>
        <v/>
      </c>
      <c r="M6" s="16" t="n">
        <v>0</v>
      </c>
      <c r="N6" s="17">
        <f>SUM(I6:M6)</f>
        <v/>
      </c>
      <c r="O6" s="16" t="n">
        <v>14000</v>
      </c>
      <c r="P6" s="16" t="n">
        <v>25990</v>
      </c>
      <c r="Q6" s="16" t="n">
        <v>1680</v>
      </c>
      <c r="R6" s="16" t="n">
        <v>5500</v>
      </c>
      <c r="S6" s="16" t="n">
        <v>9000</v>
      </c>
      <c r="T6" s="16" t="n">
        <v>0</v>
      </c>
      <c r="U6" s="17">
        <f>SUM(O6:T6)</f>
        <v/>
      </c>
      <c r="V6" s="17">
        <f>N6-U6</f>
        <v/>
      </c>
    </row>
    <row r="7" ht="18" customHeight="1">
      <c r="A7" s="13" t="inlineStr">
        <is>
          <t>003</t>
        </is>
      </c>
      <c r="B7" s="14">
        <f>IF(A7="","",IFERROR(VLOOKUP(A7,'マスタ'!$A:$F,2,FALSE),""))</f>
        <v/>
      </c>
      <c r="C7" s="14">
        <f>IF(A7="","",IFERROR(VLOOKUP(A7,'マスタ'!$A:$F,3,FALSE),""))</f>
        <v/>
      </c>
      <c r="D7" s="2" t="n">
        <v>20</v>
      </c>
      <c r="E7" s="2" t="n">
        <v>20</v>
      </c>
      <c r="F7" s="2" t="n">
        <v>0</v>
      </c>
      <c r="G7" s="2" t="n">
        <v>2</v>
      </c>
      <c r="H7" s="2" t="n">
        <v>15</v>
      </c>
      <c r="I7" s="15">
        <f>IF(A7="",0,IFERROR(VLOOKUP(A7,'マスタ'!$A:$F,4,FALSE),0))</f>
        <v/>
      </c>
      <c r="J7" s="15">
        <f>IF(A7="",0,IFERROR(VLOOKUP(A7,'マスタ'!$A:$F,5,FALSE),0))</f>
        <v/>
      </c>
      <c r="K7" s="15">
        <f>IF(A7="",0,ROUND(I7/160*1.25*H7,0))</f>
        <v/>
      </c>
      <c r="L7" s="15">
        <f>IF(A7="",0,IFERROR(VLOOKUP(A7,'マスタ'!$A:$F,6,FALSE),0))</f>
        <v/>
      </c>
      <c r="M7" s="16" t="n">
        <v>0</v>
      </c>
      <c r="N7" s="17">
        <f>SUM(I7:M7)</f>
        <v/>
      </c>
      <c r="O7" s="16" t="n">
        <v>16000</v>
      </c>
      <c r="P7" s="16" t="n">
        <v>29730</v>
      </c>
      <c r="Q7" s="16" t="n">
        <v>1920</v>
      </c>
      <c r="R7" s="16" t="n">
        <v>7000</v>
      </c>
      <c r="S7" s="16" t="n">
        <v>10500</v>
      </c>
      <c r="T7" s="16" t="n">
        <v>0</v>
      </c>
      <c r="U7" s="17">
        <f>SUM(O7:T7)</f>
        <v/>
      </c>
      <c r="V7" s="17">
        <f>N7-U7</f>
        <v/>
      </c>
    </row>
    <row r="8" ht="18" customHeight="1">
      <c r="A8" s="2" t="n"/>
      <c r="B8" s="14">
        <f>IF(A8="","",IFERROR(VLOOKUP(A8,'マスタ'!$A:$F,2,FALSE),""))</f>
        <v/>
      </c>
      <c r="C8" s="14">
        <f>IF(A8="","",IFERROR(VLOOKUP(A8,'マスタ'!$A:$F,3,FALSE),""))</f>
        <v/>
      </c>
      <c r="D8" s="2" t="n"/>
      <c r="E8" s="2" t="n"/>
      <c r="F8" s="2" t="n"/>
      <c r="G8" s="2" t="n"/>
      <c r="H8" s="2" t="n"/>
      <c r="I8" s="15">
        <f>IF(A8="",0,IFERROR(VLOOKUP(A8,'マスタ'!$A:$F,4,FALSE),0))</f>
        <v/>
      </c>
      <c r="J8" s="15">
        <f>IF(A8="",0,IFERROR(VLOOKUP(A8,'マスタ'!$A:$F,5,FALSE),0))</f>
        <v/>
      </c>
      <c r="K8" s="15">
        <f>IF(A8="",0,ROUND(I8/160*1.25*H8,0))</f>
        <v/>
      </c>
      <c r="L8" s="15">
        <f>IF(A8="",0,IFERROR(VLOOKUP(A8,'マスタ'!$A:$F,6,FALSE),0))</f>
        <v/>
      </c>
      <c r="M8" s="16" t="n"/>
      <c r="N8" s="17">
        <f>SUM(I8:M8)</f>
        <v/>
      </c>
      <c r="O8" s="16" t="n"/>
      <c r="P8" s="16" t="n"/>
      <c r="Q8" s="16" t="n"/>
      <c r="R8" s="16" t="n"/>
      <c r="S8" s="16" t="n"/>
      <c r="T8" s="16" t="n"/>
      <c r="U8" s="17">
        <f>SUM(O8:T8)</f>
        <v/>
      </c>
      <c r="V8" s="17">
        <f>N8-U8</f>
        <v/>
      </c>
    </row>
    <row r="9" ht="18" customHeight="1">
      <c r="A9" s="2" t="n"/>
      <c r="B9" s="14">
        <f>IF(A9="","",IFERROR(VLOOKUP(A9,'マスタ'!$A:$F,2,FALSE),""))</f>
        <v/>
      </c>
      <c r="C9" s="14">
        <f>IF(A9="","",IFERROR(VLOOKUP(A9,'マスタ'!$A:$F,3,FALSE),""))</f>
        <v/>
      </c>
      <c r="D9" s="2" t="n"/>
      <c r="E9" s="2" t="n"/>
      <c r="F9" s="2" t="n"/>
      <c r="G9" s="2" t="n"/>
      <c r="H9" s="2" t="n"/>
      <c r="I9" s="15">
        <f>IF(A9="",0,IFERROR(VLOOKUP(A9,'マスタ'!$A:$F,4,FALSE),0))</f>
        <v/>
      </c>
      <c r="J9" s="15">
        <f>IF(A9="",0,IFERROR(VLOOKUP(A9,'マスタ'!$A:$F,5,FALSE),0))</f>
        <v/>
      </c>
      <c r="K9" s="15">
        <f>IF(A9="",0,ROUND(I9/160*1.25*H9,0))</f>
        <v/>
      </c>
      <c r="L9" s="15">
        <f>IF(A9="",0,IFERROR(VLOOKUP(A9,'マスタ'!$A:$F,6,FALSE),0))</f>
        <v/>
      </c>
      <c r="M9" s="16" t="n"/>
      <c r="N9" s="17">
        <f>SUM(I9:M9)</f>
        <v/>
      </c>
      <c r="O9" s="16" t="n"/>
      <c r="P9" s="16" t="n"/>
      <c r="Q9" s="16" t="n"/>
      <c r="R9" s="16" t="n"/>
      <c r="S9" s="16" t="n"/>
      <c r="T9" s="16" t="n"/>
      <c r="U9" s="17">
        <f>SUM(O9:T9)</f>
        <v/>
      </c>
      <c r="V9" s="17">
        <f>N9-U9</f>
        <v/>
      </c>
    </row>
    <row r="10" ht="18" customHeight="1">
      <c r="A10" s="2" t="n"/>
      <c r="B10" s="14">
        <f>IF(A10="","",IFERROR(VLOOKUP(A10,'マスタ'!$A:$F,2,FALSE),""))</f>
        <v/>
      </c>
      <c r="C10" s="14">
        <f>IF(A10="","",IFERROR(VLOOKUP(A10,'マスタ'!$A:$F,3,FALSE),""))</f>
        <v/>
      </c>
      <c r="D10" s="2" t="n"/>
      <c r="E10" s="2" t="n"/>
      <c r="F10" s="2" t="n"/>
      <c r="G10" s="2" t="n"/>
      <c r="H10" s="2" t="n"/>
      <c r="I10" s="15">
        <f>IF(A10="",0,IFERROR(VLOOKUP(A10,'マスタ'!$A:$F,4,FALSE),0))</f>
        <v/>
      </c>
      <c r="J10" s="15">
        <f>IF(A10="",0,IFERROR(VLOOKUP(A10,'マスタ'!$A:$F,5,FALSE),0))</f>
        <v/>
      </c>
      <c r="K10" s="15">
        <f>IF(A10="",0,ROUND(I10/160*1.25*H10,0))</f>
        <v/>
      </c>
      <c r="L10" s="15">
        <f>IF(A10="",0,IFERROR(VLOOKUP(A10,'マスタ'!$A:$F,6,FALSE),0))</f>
        <v/>
      </c>
      <c r="M10" s="16" t="n"/>
      <c r="N10" s="17">
        <f>SUM(I10:M10)</f>
        <v/>
      </c>
      <c r="O10" s="16" t="n"/>
      <c r="P10" s="16" t="n"/>
      <c r="Q10" s="16" t="n"/>
      <c r="R10" s="16" t="n"/>
      <c r="S10" s="16" t="n"/>
      <c r="T10" s="16" t="n"/>
      <c r="U10" s="17">
        <f>SUM(O10:T10)</f>
        <v/>
      </c>
      <c r="V10" s="17">
        <f>N10-U10</f>
        <v/>
      </c>
    </row>
    <row r="11" ht="18" customHeight="1">
      <c r="A11" s="2" t="n"/>
      <c r="B11" s="14">
        <f>IF(A11="","",IFERROR(VLOOKUP(A11,'マスタ'!$A:$F,2,FALSE),""))</f>
        <v/>
      </c>
      <c r="C11" s="14">
        <f>IF(A11="","",IFERROR(VLOOKUP(A11,'マスタ'!$A:$F,3,FALSE),""))</f>
        <v/>
      </c>
      <c r="D11" s="2" t="n"/>
      <c r="E11" s="2" t="n"/>
      <c r="F11" s="2" t="n"/>
      <c r="G11" s="2" t="n"/>
      <c r="H11" s="2" t="n"/>
      <c r="I11" s="15">
        <f>IF(A11="",0,IFERROR(VLOOKUP(A11,'マスタ'!$A:$F,4,FALSE),0))</f>
        <v/>
      </c>
      <c r="J11" s="15">
        <f>IF(A11="",0,IFERROR(VLOOKUP(A11,'マスタ'!$A:$F,5,FALSE),0))</f>
        <v/>
      </c>
      <c r="K11" s="15">
        <f>IF(A11="",0,ROUND(I11/160*1.25*H11,0))</f>
        <v/>
      </c>
      <c r="L11" s="15">
        <f>IF(A11="",0,IFERROR(VLOOKUP(A11,'マスタ'!$A:$F,6,FALSE),0))</f>
        <v/>
      </c>
      <c r="M11" s="16" t="n"/>
      <c r="N11" s="17">
        <f>SUM(I11:M11)</f>
        <v/>
      </c>
      <c r="O11" s="16" t="n"/>
      <c r="P11" s="16" t="n"/>
      <c r="Q11" s="16" t="n"/>
      <c r="R11" s="16" t="n"/>
      <c r="S11" s="16" t="n"/>
      <c r="T11" s="16" t="n"/>
      <c r="U11" s="17">
        <f>SUM(O11:T11)</f>
        <v/>
      </c>
      <c r="V11" s="17">
        <f>N11-U11</f>
        <v/>
      </c>
    </row>
    <row r="12" ht="18" customHeight="1">
      <c r="A12" s="2" t="n"/>
      <c r="B12" s="14">
        <f>IF(A12="","",IFERROR(VLOOKUP(A12,'マスタ'!$A:$F,2,FALSE),""))</f>
        <v/>
      </c>
      <c r="C12" s="14">
        <f>IF(A12="","",IFERROR(VLOOKUP(A12,'マスタ'!$A:$F,3,FALSE),""))</f>
        <v/>
      </c>
      <c r="D12" s="2" t="n"/>
      <c r="E12" s="2" t="n"/>
      <c r="F12" s="2" t="n"/>
      <c r="G12" s="2" t="n"/>
      <c r="H12" s="2" t="n"/>
      <c r="I12" s="15">
        <f>IF(A12="",0,IFERROR(VLOOKUP(A12,'マスタ'!$A:$F,4,FALSE),0))</f>
        <v/>
      </c>
      <c r="J12" s="15">
        <f>IF(A12="",0,IFERROR(VLOOKUP(A12,'マスタ'!$A:$F,5,FALSE),0))</f>
        <v/>
      </c>
      <c r="K12" s="15">
        <f>IF(A12="",0,ROUND(I12/160*1.25*H12,0))</f>
        <v/>
      </c>
      <c r="L12" s="15">
        <f>IF(A12="",0,IFERROR(VLOOKUP(A12,'マスタ'!$A:$F,6,FALSE),0))</f>
        <v/>
      </c>
      <c r="M12" s="16" t="n"/>
      <c r="N12" s="17">
        <f>SUM(I12:M12)</f>
        <v/>
      </c>
      <c r="O12" s="16" t="n"/>
      <c r="P12" s="16" t="n"/>
      <c r="Q12" s="16" t="n"/>
      <c r="R12" s="16" t="n"/>
      <c r="S12" s="16" t="n"/>
      <c r="T12" s="16" t="n"/>
      <c r="U12" s="17">
        <f>SUM(O12:T12)</f>
        <v/>
      </c>
      <c r="V12" s="17">
        <f>N12-U12</f>
        <v/>
      </c>
    </row>
    <row r="13" ht="18" customHeight="1">
      <c r="A13" s="2" t="n"/>
      <c r="B13" s="14">
        <f>IF(A13="","",IFERROR(VLOOKUP(A13,'マスタ'!$A:$F,2,FALSE),""))</f>
        <v/>
      </c>
      <c r="C13" s="14">
        <f>IF(A13="","",IFERROR(VLOOKUP(A13,'マスタ'!$A:$F,3,FALSE),""))</f>
        <v/>
      </c>
      <c r="D13" s="2" t="n"/>
      <c r="E13" s="2" t="n"/>
      <c r="F13" s="2" t="n"/>
      <c r="G13" s="2" t="n"/>
      <c r="H13" s="2" t="n"/>
      <c r="I13" s="15">
        <f>IF(A13="",0,IFERROR(VLOOKUP(A13,'マスタ'!$A:$F,4,FALSE),0))</f>
        <v/>
      </c>
      <c r="J13" s="15">
        <f>IF(A13="",0,IFERROR(VLOOKUP(A13,'マスタ'!$A:$F,5,FALSE),0))</f>
        <v/>
      </c>
      <c r="K13" s="15">
        <f>IF(A13="",0,ROUND(I13/160*1.25*H13,0))</f>
        <v/>
      </c>
      <c r="L13" s="15">
        <f>IF(A13="",0,IFERROR(VLOOKUP(A13,'マスタ'!$A:$F,6,FALSE),0))</f>
        <v/>
      </c>
      <c r="M13" s="16" t="n"/>
      <c r="N13" s="17">
        <f>SUM(I13:M13)</f>
        <v/>
      </c>
      <c r="O13" s="16" t="n"/>
      <c r="P13" s="16" t="n"/>
      <c r="Q13" s="16" t="n"/>
      <c r="R13" s="16" t="n"/>
      <c r="S13" s="16" t="n"/>
      <c r="T13" s="16" t="n"/>
      <c r="U13" s="17">
        <f>SUM(O13:T13)</f>
        <v/>
      </c>
      <c r="V13" s="17">
        <f>N13-U13</f>
        <v/>
      </c>
    </row>
    <row r="14" ht="18" customHeight="1">
      <c r="A14" s="2" t="n"/>
      <c r="B14" s="14">
        <f>IF(A14="","",IFERROR(VLOOKUP(A14,'マスタ'!$A:$F,2,FALSE),""))</f>
        <v/>
      </c>
      <c r="C14" s="14">
        <f>IF(A14="","",IFERROR(VLOOKUP(A14,'マスタ'!$A:$F,3,FALSE),""))</f>
        <v/>
      </c>
      <c r="D14" s="2" t="n"/>
      <c r="E14" s="2" t="n"/>
      <c r="F14" s="2" t="n"/>
      <c r="G14" s="2" t="n"/>
      <c r="H14" s="2" t="n"/>
      <c r="I14" s="15">
        <f>IF(A14="",0,IFERROR(VLOOKUP(A14,'マスタ'!$A:$F,4,FALSE),0))</f>
        <v/>
      </c>
      <c r="J14" s="15">
        <f>IF(A14="",0,IFERROR(VLOOKUP(A14,'マスタ'!$A:$F,5,FALSE),0))</f>
        <v/>
      </c>
      <c r="K14" s="15">
        <f>IF(A14="",0,ROUND(I14/160*1.25*H14,0))</f>
        <v/>
      </c>
      <c r="L14" s="15">
        <f>IF(A14="",0,IFERROR(VLOOKUP(A14,'マスタ'!$A:$F,6,FALSE),0))</f>
        <v/>
      </c>
      <c r="M14" s="16" t="n"/>
      <c r="N14" s="17">
        <f>SUM(I14:M14)</f>
        <v/>
      </c>
      <c r="O14" s="16" t="n"/>
      <c r="P14" s="16" t="n"/>
      <c r="Q14" s="16" t="n"/>
      <c r="R14" s="16" t="n"/>
      <c r="S14" s="16" t="n"/>
      <c r="T14" s="16" t="n"/>
      <c r="U14" s="17">
        <f>SUM(O14:T14)</f>
        <v/>
      </c>
      <c r="V14" s="17">
        <f>N14-U14</f>
        <v/>
      </c>
    </row>
    <row r="15" ht="18" customHeight="1">
      <c r="A15" s="18" t="inlineStr">
        <is>
          <t>合　計</t>
        </is>
      </c>
      <c r="D15" s="19">
        <f>SUM(D5:D14)</f>
        <v/>
      </c>
      <c r="E15" s="19">
        <f>SUM(E5:E14)</f>
        <v/>
      </c>
      <c r="F15" s="19">
        <f>SUM(F5:F14)</f>
        <v/>
      </c>
      <c r="G15" s="19">
        <f>SUM(G5:G14)</f>
        <v/>
      </c>
      <c r="H15" s="19">
        <f>SUM(H5:H14)</f>
        <v/>
      </c>
      <c r="I15" s="17">
        <f>SUM(I5:I14)</f>
        <v/>
      </c>
      <c r="J15" s="17">
        <f>SUM(J5:J14)</f>
        <v/>
      </c>
      <c r="K15" s="17">
        <f>SUM(K5:K14)</f>
        <v/>
      </c>
      <c r="L15" s="17">
        <f>SUM(L5:L14)</f>
        <v/>
      </c>
      <c r="M15" s="17">
        <f>SUM(M5:M14)</f>
        <v/>
      </c>
      <c r="N15" s="17">
        <f>SUM(N5:N14)</f>
        <v/>
      </c>
      <c r="O15" s="17">
        <f>SUM(O5:O14)</f>
        <v/>
      </c>
      <c r="P15" s="17">
        <f>SUM(P5:P14)</f>
        <v/>
      </c>
      <c r="Q15" s="17">
        <f>SUM(Q5:Q14)</f>
        <v/>
      </c>
      <c r="R15" s="17">
        <f>SUM(R5:R14)</f>
        <v/>
      </c>
      <c r="S15" s="17">
        <f>SUM(S5:S14)</f>
        <v/>
      </c>
      <c r="T15" s="17">
        <f>SUM(T5:T14)</f>
        <v/>
      </c>
      <c r="U15" s="17">
        <f>SUM(U5:U14)</f>
        <v/>
      </c>
      <c r="V15" s="17">
        <f>SUM(V5:V14)</f>
        <v/>
      </c>
    </row>
  </sheetData>
  <mergeCells count="8">
    <mergeCell ref="A1:V1"/>
    <mergeCell ref="L2:V2"/>
    <mergeCell ref="A2:K2"/>
    <mergeCell ref="O3:U3"/>
    <mergeCell ref="A3:C3"/>
    <mergeCell ref="I3:N3"/>
    <mergeCell ref="A15:C15"/>
    <mergeCell ref="D3:H3"/>
  </mergeCells>
  <pageMargins left="0.5" right="0.5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12" customWidth="1" min="22" max="22"/>
  </cols>
  <sheetData>
    <row r="1" ht="26" customHeight="1">
      <c r="A1" s="6" t="inlineStr">
        <is>
          <t>給与台帳　2月分</t>
        </is>
      </c>
    </row>
    <row r="2" ht="18" customHeight="1">
      <c r="A2" s="7" t="inlineStr">
        <is>
          <t>会社名：株式会社サンプル</t>
        </is>
      </c>
      <c r="L2" s="8" t="inlineStr">
        <is>
          <t>作成日：2026年2月</t>
        </is>
      </c>
    </row>
    <row r="3" ht="30" customHeight="1">
      <c r="A3" s="1" t="inlineStr">
        <is>
          <t>基本情報</t>
        </is>
      </c>
      <c r="D3" s="1" t="inlineStr">
        <is>
          <t>勤　怠　情　報</t>
        </is>
      </c>
      <c r="I3" s="9" t="inlineStr">
        <is>
          <t>支　　給　　項　　目</t>
        </is>
      </c>
      <c r="O3" s="10" t="inlineStr">
        <is>
          <t>控　　除　　項　　目</t>
        </is>
      </c>
      <c r="V3" s="11" t="inlineStr">
        <is>
          <t>差引
支給額</t>
        </is>
      </c>
    </row>
    <row r="4" ht="30" customHeight="1">
      <c r="A4" s="12" t="inlineStr">
        <is>
          <t>従業員
番号</t>
        </is>
      </c>
      <c r="B4" s="12" t="inlineStr">
        <is>
          <t>氏名</t>
        </is>
      </c>
      <c r="C4" s="12" t="inlineStr">
        <is>
          <t>所属</t>
        </is>
      </c>
      <c r="D4" s="12" t="inlineStr">
        <is>
          <t>所定
労働日数</t>
        </is>
      </c>
      <c r="E4" s="12" t="inlineStr">
        <is>
          <t>出勤
日数</t>
        </is>
      </c>
      <c r="F4" s="12" t="inlineStr">
        <is>
          <t>欠勤
日数</t>
        </is>
      </c>
      <c r="G4" s="12" t="inlineStr">
        <is>
          <t>有給
取得日数</t>
        </is>
      </c>
      <c r="H4" s="12" t="inlineStr">
        <is>
          <t>残業
時間</t>
        </is>
      </c>
      <c r="I4" s="12" t="inlineStr">
        <is>
          <t>基本給</t>
        </is>
      </c>
      <c r="J4" s="12" t="inlineStr">
        <is>
          <t>役職
手当</t>
        </is>
      </c>
      <c r="K4" s="12" t="inlineStr">
        <is>
          <t>残業
手当</t>
        </is>
      </c>
      <c r="L4" s="12" t="inlineStr">
        <is>
          <t>通勤
手当</t>
        </is>
      </c>
      <c r="M4" s="12" t="inlineStr">
        <is>
          <t>その他
手当</t>
        </is>
      </c>
      <c r="N4" s="11" t="inlineStr">
        <is>
          <t>支給
合計</t>
        </is>
      </c>
      <c r="O4" s="12" t="inlineStr">
        <is>
          <t>健康
保険</t>
        </is>
      </c>
      <c r="P4" s="12" t="inlineStr">
        <is>
          <t>厚生
年金</t>
        </is>
      </c>
      <c r="Q4" s="12" t="inlineStr">
        <is>
          <t>雇用
保険</t>
        </is>
      </c>
      <c r="R4" s="12" t="inlineStr">
        <is>
          <t>所得税</t>
        </is>
      </c>
      <c r="S4" s="12" t="inlineStr">
        <is>
          <t>住民税</t>
        </is>
      </c>
      <c r="T4" s="12" t="inlineStr">
        <is>
          <t>その他
控除</t>
        </is>
      </c>
      <c r="U4" s="11" t="inlineStr">
        <is>
          <t>控除
合計</t>
        </is>
      </c>
      <c r="V4" s="11" t="inlineStr">
        <is>
          <t>差引
支給額</t>
        </is>
      </c>
    </row>
    <row r="5" ht="18" customHeight="1">
      <c r="A5" s="13" t="inlineStr">
        <is>
          <t>001</t>
        </is>
      </c>
      <c r="B5" s="14">
        <f>IF(A5="","",IFERROR(VLOOKUP(A5,'マスタ'!$A:$F,2,FALSE),""))</f>
        <v/>
      </c>
      <c r="C5" s="14">
        <f>IF(A5="","",IFERROR(VLOOKUP(A5,'マスタ'!$A:$F,3,FALSE),""))</f>
        <v/>
      </c>
      <c r="D5" s="2" t="n">
        <v>20</v>
      </c>
      <c r="E5" s="2" t="n">
        <v>20</v>
      </c>
      <c r="F5" s="2" t="n">
        <v>0</v>
      </c>
      <c r="G5" s="2" t="n">
        <v>0</v>
      </c>
      <c r="H5" s="2" t="n">
        <v>10</v>
      </c>
      <c r="I5" s="15">
        <f>IF(A5="",0,IFERROR(VLOOKUP(A5,'マスタ'!$A:$F,4,FALSE),0))</f>
        <v/>
      </c>
      <c r="J5" s="15">
        <f>IF(A5="",0,IFERROR(VLOOKUP(A5,'マスタ'!$A:$F,5,FALSE),0))</f>
        <v/>
      </c>
      <c r="K5" s="15">
        <f>IF(A5="",0,ROUND(I5/160*1.25*H5,0))</f>
        <v/>
      </c>
      <c r="L5" s="15">
        <f>IF(A5="",0,IFERROR(VLOOKUP(A5,'マスタ'!$A:$F,6,FALSE),0))</f>
        <v/>
      </c>
      <c r="M5" s="16" t="n">
        <v>0</v>
      </c>
      <c r="N5" s="17">
        <f>SUM(I5:M5)</f>
        <v/>
      </c>
      <c r="O5" s="16" t="n">
        <v>17500</v>
      </c>
      <c r="P5" s="16" t="n">
        <v>32490</v>
      </c>
      <c r="Q5" s="16" t="n">
        <v>2100</v>
      </c>
      <c r="R5" s="16" t="n">
        <v>8500</v>
      </c>
      <c r="S5" s="16" t="n">
        <v>12000</v>
      </c>
      <c r="T5" s="16" t="n">
        <v>0</v>
      </c>
      <c r="U5" s="17">
        <f>SUM(O5:T5)</f>
        <v/>
      </c>
      <c r="V5" s="17">
        <f>N5-U5</f>
        <v/>
      </c>
    </row>
    <row r="6" ht="18" customHeight="1">
      <c r="A6" s="13" t="inlineStr">
        <is>
          <t>002</t>
        </is>
      </c>
      <c r="B6" s="14">
        <f>IF(A6="","",IFERROR(VLOOKUP(A6,'マスタ'!$A:$F,2,FALSE),""))</f>
        <v/>
      </c>
      <c r="C6" s="14">
        <f>IF(A6="","",IFERROR(VLOOKUP(A6,'マスタ'!$A:$F,3,FALSE),""))</f>
        <v/>
      </c>
      <c r="D6" s="2" t="n">
        <v>20</v>
      </c>
      <c r="E6" s="2" t="n">
        <v>19</v>
      </c>
      <c r="F6" s="2" t="n">
        <v>1</v>
      </c>
      <c r="G6" s="2" t="n">
        <v>1</v>
      </c>
      <c r="H6" s="2" t="n">
        <v>5</v>
      </c>
      <c r="I6" s="15">
        <f>IF(A6="",0,IFERROR(VLOOKUP(A6,'マスタ'!$A:$F,4,FALSE),0))</f>
        <v/>
      </c>
      <c r="J6" s="15">
        <f>IF(A6="",0,IFERROR(VLOOKUP(A6,'マスタ'!$A:$F,5,FALSE),0))</f>
        <v/>
      </c>
      <c r="K6" s="15">
        <f>IF(A6="",0,ROUND(I6/160*1.25*H6,0))</f>
        <v/>
      </c>
      <c r="L6" s="15">
        <f>IF(A6="",0,IFERROR(VLOOKUP(A6,'マスタ'!$A:$F,6,FALSE),0))</f>
        <v/>
      </c>
      <c r="M6" s="16" t="n">
        <v>0</v>
      </c>
      <c r="N6" s="17">
        <f>SUM(I6:M6)</f>
        <v/>
      </c>
      <c r="O6" s="16" t="n">
        <v>14000</v>
      </c>
      <c r="P6" s="16" t="n">
        <v>25990</v>
      </c>
      <c r="Q6" s="16" t="n">
        <v>1680</v>
      </c>
      <c r="R6" s="16" t="n">
        <v>5500</v>
      </c>
      <c r="S6" s="16" t="n">
        <v>9000</v>
      </c>
      <c r="T6" s="16" t="n">
        <v>0</v>
      </c>
      <c r="U6" s="17">
        <f>SUM(O6:T6)</f>
        <v/>
      </c>
      <c r="V6" s="17">
        <f>N6-U6</f>
        <v/>
      </c>
    </row>
    <row r="7" ht="18" customHeight="1">
      <c r="A7" s="13" t="inlineStr">
        <is>
          <t>003</t>
        </is>
      </c>
      <c r="B7" s="14">
        <f>IF(A7="","",IFERROR(VLOOKUP(A7,'マスタ'!$A:$F,2,FALSE),""))</f>
        <v/>
      </c>
      <c r="C7" s="14">
        <f>IF(A7="","",IFERROR(VLOOKUP(A7,'マスタ'!$A:$F,3,FALSE),""))</f>
        <v/>
      </c>
      <c r="D7" s="2" t="n">
        <v>20</v>
      </c>
      <c r="E7" s="2" t="n">
        <v>20</v>
      </c>
      <c r="F7" s="2" t="n">
        <v>0</v>
      </c>
      <c r="G7" s="2" t="n">
        <v>2</v>
      </c>
      <c r="H7" s="2" t="n">
        <v>15</v>
      </c>
      <c r="I7" s="15">
        <f>IF(A7="",0,IFERROR(VLOOKUP(A7,'マスタ'!$A:$F,4,FALSE),0))</f>
        <v/>
      </c>
      <c r="J7" s="15">
        <f>IF(A7="",0,IFERROR(VLOOKUP(A7,'マスタ'!$A:$F,5,FALSE),0))</f>
        <v/>
      </c>
      <c r="K7" s="15">
        <f>IF(A7="",0,ROUND(I7/160*1.25*H7,0))</f>
        <v/>
      </c>
      <c r="L7" s="15">
        <f>IF(A7="",0,IFERROR(VLOOKUP(A7,'マスタ'!$A:$F,6,FALSE),0))</f>
        <v/>
      </c>
      <c r="M7" s="16" t="n">
        <v>0</v>
      </c>
      <c r="N7" s="17">
        <f>SUM(I7:M7)</f>
        <v/>
      </c>
      <c r="O7" s="16" t="n">
        <v>16000</v>
      </c>
      <c r="P7" s="16" t="n">
        <v>29730</v>
      </c>
      <c r="Q7" s="16" t="n">
        <v>1920</v>
      </c>
      <c r="R7" s="16" t="n">
        <v>7000</v>
      </c>
      <c r="S7" s="16" t="n">
        <v>10500</v>
      </c>
      <c r="T7" s="16" t="n">
        <v>0</v>
      </c>
      <c r="U7" s="17">
        <f>SUM(O7:T7)</f>
        <v/>
      </c>
      <c r="V7" s="17">
        <f>N7-U7</f>
        <v/>
      </c>
    </row>
    <row r="8" ht="18" customHeight="1">
      <c r="A8" s="2" t="n"/>
      <c r="B8" s="14">
        <f>IF(A8="","",IFERROR(VLOOKUP(A8,'マスタ'!$A:$F,2,FALSE),""))</f>
        <v/>
      </c>
      <c r="C8" s="14">
        <f>IF(A8="","",IFERROR(VLOOKUP(A8,'マスタ'!$A:$F,3,FALSE),""))</f>
        <v/>
      </c>
      <c r="D8" s="2" t="n"/>
      <c r="E8" s="2" t="n"/>
      <c r="F8" s="2" t="n"/>
      <c r="G8" s="2" t="n"/>
      <c r="H8" s="2" t="n"/>
      <c r="I8" s="15">
        <f>IF(A8="",0,IFERROR(VLOOKUP(A8,'マスタ'!$A:$F,4,FALSE),0))</f>
        <v/>
      </c>
      <c r="J8" s="15">
        <f>IF(A8="",0,IFERROR(VLOOKUP(A8,'マスタ'!$A:$F,5,FALSE),0))</f>
        <v/>
      </c>
      <c r="K8" s="15">
        <f>IF(A8="",0,ROUND(I8/160*1.25*H8,0))</f>
        <v/>
      </c>
      <c r="L8" s="15">
        <f>IF(A8="",0,IFERROR(VLOOKUP(A8,'マスタ'!$A:$F,6,FALSE),0))</f>
        <v/>
      </c>
      <c r="M8" s="16" t="n"/>
      <c r="N8" s="17">
        <f>SUM(I8:M8)</f>
        <v/>
      </c>
      <c r="O8" s="16" t="n"/>
      <c r="P8" s="16" t="n"/>
      <c r="Q8" s="16" t="n"/>
      <c r="R8" s="16" t="n"/>
      <c r="S8" s="16" t="n"/>
      <c r="T8" s="16" t="n"/>
      <c r="U8" s="17">
        <f>SUM(O8:T8)</f>
        <v/>
      </c>
      <c r="V8" s="17">
        <f>N8-U8</f>
        <v/>
      </c>
    </row>
    <row r="9" ht="18" customHeight="1">
      <c r="A9" s="2" t="n"/>
      <c r="B9" s="14">
        <f>IF(A9="","",IFERROR(VLOOKUP(A9,'マスタ'!$A:$F,2,FALSE),""))</f>
        <v/>
      </c>
      <c r="C9" s="14">
        <f>IF(A9="","",IFERROR(VLOOKUP(A9,'マスタ'!$A:$F,3,FALSE),""))</f>
        <v/>
      </c>
      <c r="D9" s="2" t="n"/>
      <c r="E9" s="2" t="n"/>
      <c r="F9" s="2" t="n"/>
      <c r="G9" s="2" t="n"/>
      <c r="H9" s="2" t="n"/>
      <c r="I9" s="15">
        <f>IF(A9="",0,IFERROR(VLOOKUP(A9,'マスタ'!$A:$F,4,FALSE),0))</f>
        <v/>
      </c>
      <c r="J9" s="15">
        <f>IF(A9="",0,IFERROR(VLOOKUP(A9,'マスタ'!$A:$F,5,FALSE),0))</f>
        <v/>
      </c>
      <c r="K9" s="15">
        <f>IF(A9="",0,ROUND(I9/160*1.25*H9,0))</f>
        <v/>
      </c>
      <c r="L9" s="15">
        <f>IF(A9="",0,IFERROR(VLOOKUP(A9,'マスタ'!$A:$F,6,FALSE),0))</f>
        <v/>
      </c>
      <c r="M9" s="16" t="n"/>
      <c r="N9" s="17">
        <f>SUM(I9:M9)</f>
        <v/>
      </c>
      <c r="O9" s="16" t="n"/>
      <c r="P9" s="16" t="n"/>
      <c r="Q9" s="16" t="n"/>
      <c r="R9" s="16" t="n"/>
      <c r="S9" s="16" t="n"/>
      <c r="T9" s="16" t="n"/>
      <c r="U9" s="17">
        <f>SUM(O9:T9)</f>
        <v/>
      </c>
      <c r="V9" s="17">
        <f>N9-U9</f>
        <v/>
      </c>
    </row>
    <row r="10" ht="18" customHeight="1">
      <c r="A10" s="2" t="n"/>
      <c r="B10" s="14">
        <f>IF(A10="","",IFERROR(VLOOKUP(A10,'マスタ'!$A:$F,2,FALSE),""))</f>
        <v/>
      </c>
      <c r="C10" s="14">
        <f>IF(A10="","",IFERROR(VLOOKUP(A10,'マスタ'!$A:$F,3,FALSE),""))</f>
        <v/>
      </c>
      <c r="D10" s="2" t="n"/>
      <c r="E10" s="2" t="n"/>
      <c r="F10" s="2" t="n"/>
      <c r="G10" s="2" t="n"/>
      <c r="H10" s="2" t="n"/>
      <c r="I10" s="15">
        <f>IF(A10="",0,IFERROR(VLOOKUP(A10,'マスタ'!$A:$F,4,FALSE),0))</f>
        <v/>
      </c>
      <c r="J10" s="15">
        <f>IF(A10="",0,IFERROR(VLOOKUP(A10,'マスタ'!$A:$F,5,FALSE),0))</f>
        <v/>
      </c>
      <c r="K10" s="15">
        <f>IF(A10="",0,ROUND(I10/160*1.25*H10,0))</f>
        <v/>
      </c>
      <c r="L10" s="15">
        <f>IF(A10="",0,IFERROR(VLOOKUP(A10,'マスタ'!$A:$F,6,FALSE),0))</f>
        <v/>
      </c>
      <c r="M10" s="16" t="n"/>
      <c r="N10" s="17">
        <f>SUM(I10:M10)</f>
        <v/>
      </c>
      <c r="O10" s="16" t="n"/>
      <c r="P10" s="16" t="n"/>
      <c r="Q10" s="16" t="n"/>
      <c r="R10" s="16" t="n"/>
      <c r="S10" s="16" t="n"/>
      <c r="T10" s="16" t="n"/>
      <c r="U10" s="17">
        <f>SUM(O10:T10)</f>
        <v/>
      </c>
      <c r="V10" s="17">
        <f>N10-U10</f>
        <v/>
      </c>
    </row>
    <row r="11" ht="18" customHeight="1">
      <c r="A11" s="2" t="n"/>
      <c r="B11" s="14">
        <f>IF(A11="","",IFERROR(VLOOKUP(A11,'マスタ'!$A:$F,2,FALSE),""))</f>
        <v/>
      </c>
      <c r="C11" s="14">
        <f>IF(A11="","",IFERROR(VLOOKUP(A11,'マスタ'!$A:$F,3,FALSE),""))</f>
        <v/>
      </c>
      <c r="D11" s="2" t="n"/>
      <c r="E11" s="2" t="n"/>
      <c r="F11" s="2" t="n"/>
      <c r="G11" s="2" t="n"/>
      <c r="H11" s="2" t="n"/>
      <c r="I11" s="15">
        <f>IF(A11="",0,IFERROR(VLOOKUP(A11,'マスタ'!$A:$F,4,FALSE),0))</f>
        <v/>
      </c>
      <c r="J11" s="15">
        <f>IF(A11="",0,IFERROR(VLOOKUP(A11,'マスタ'!$A:$F,5,FALSE),0))</f>
        <v/>
      </c>
      <c r="K11" s="15">
        <f>IF(A11="",0,ROUND(I11/160*1.25*H11,0))</f>
        <v/>
      </c>
      <c r="L11" s="15">
        <f>IF(A11="",0,IFERROR(VLOOKUP(A11,'マスタ'!$A:$F,6,FALSE),0))</f>
        <v/>
      </c>
      <c r="M11" s="16" t="n"/>
      <c r="N11" s="17">
        <f>SUM(I11:M11)</f>
        <v/>
      </c>
      <c r="O11" s="16" t="n"/>
      <c r="P11" s="16" t="n"/>
      <c r="Q11" s="16" t="n"/>
      <c r="R11" s="16" t="n"/>
      <c r="S11" s="16" t="n"/>
      <c r="T11" s="16" t="n"/>
      <c r="U11" s="17">
        <f>SUM(O11:T11)</f>
        <v/>
      </c>
      <c r="V11" s="17">
        <f>N11-U11</f>
        <v/>
      </c>
    </row>
    <row r="12" ht="18" customHeight="1">
      <c r="A12" s="2" t="n"/>
      <c r="B12" s="14">
        <f>IF(A12="","",IFERROR(VLOOKUP(A12,'マスタ'!$A:$F,2,FALSE),""))</f>
        <v/>
      </c>
      <c r="C12" s="14">
        <f>IF(A12="","",IFERROR(VLOOKUP(A12,'マスタ'!$A:$F,3,FALSE),""))</f>
        <v/>
      </c>
      <c r="D12" s="2" t="n"/>
      <c r="E12" s="2" t="n"/>
      <c r="F12" s="2" t="n"/>
      <c r="G12" s="2" t="n"/>
      <c r="H12" s="2" t="n"/>
      <c r="I12" s="15">
        <f>IF(A12="",0,IFERROR(VLOOKUP(A12,'マスタ'!$A:$F,4,FALSE),0))</f>
        <v/>
      </c>
      <c r="J12" s="15">
        <f>IF(A12="",0,IFERROR(VLOOKUP(A12,'マスタ'!$A:$F,5,FALSE),0))</f>
        <v/>
      </c>
      <c r="K12" s="15">
        <f>IF(A12="",0,ROUND(I12/160*1.25*H12,0))</f>
        <v/>
      </c>
      <c r="L12" s="15">
        <f>IF(A12="",0,IFERROR(VLOOKUP(A12,'マスタ'!$A:$F,6,FALSE),0))</f>
        <v/>
      </c>
      <c r="M12" s="16" t="n"/>
      <c r="N12" s="17">
        <f>SUM(I12:M12)</f>
        <v/>
      </c>
      <c r="O12" s="16" t="n"/>
      <c r="P12" s="16" t="n"/>
      <c r="Q12" s="16" t="n"/>
      <c r="R12" s="16" t="n"/>
      <c r="S12" s="16" t="n"/>
      <c r="T12" s="16" t="n"/>
      <c r="U12" s="17">
        <f>SUM(O12:T12)</f>
        <v/>
      </c>
      <c r="V12" s="17">
        <f>N12-U12</f>
        <v/>
      </c>
    </row>
    <row r="13" ht="18" customHeight="1">
      <c r="A13" s="2" t="n"/>
      <c r="B13" s="14">
        <f>IF(A13="","",IFERROR(VLOOKUP(A13,'マスタ'!$A:$F,2,FALSE),""))</f>
        <v/>
      </c>
      <c r="C13" s="14">
        <f>IF(A13="","",IFERROR(VLOOKUP(A13,'マスタ'!$A:$F,3,FALSE),""))</f>
        <v/>
      </c>
      <c r="D13" s="2" t="n"/>
      <c r="E13" s="2" t="n"/>
      <c r="F13" s="2" t="n"/>
      <c r="G13" s="2" t="n"/>
      <c r="H13" s="2" t="n"/>
      <c r="I13" s="15">
        <f>IF(A13="",0,IFERROR(VLOOKUP(A13,'マスタ'!$A:$F,4,FALSE),0))</f>
        <v/>
      </c>
      <c r="J13" s="15">
        <f>IF(A13="",0,IFERROR(VLOOKUP(A13,'マスタ'!$A:$F,5,FALSE),0))</f>
        <v/>
      </c>
      <c r="K13" s="15">
        <f>IF(A13="",0,ROUND(I13/160*1.25*H13,0))</f>
        <v/>
      </c>
      <c r="L13" s="15">
        <f>IF(A13="",0,IFERROR(VLOOKUP(A13,'マスタ'!$A:$F,6,FALSE),0))</f>
        <v/>
      </c>
      <c r="M13" s="16" t="n"/>
      <c r="N13" s="17">
        <f>SUM(I13:M13)</f>
        <v/>
      </c>
      <c r="O13" s="16" t="n"/>
      <c r="P13" s="16" t="n"/>
      <c r="Q13" s="16" t="n"/>
      <c r="R13" s="16" t="n"/>
      <c r="S13" s="16" t="n"/>
      <c r="T13" s="16" t="n"/>
      <c r="U13" s="17">
        <f>SUM(O13:T13)</f>
        <v/>
      </c>
      <c r="V13" s="17">
        <f>N13-U13</f>
        <v/>
      </c>
    </row>
    <row r="14" ht="18" customHeight="1">
      <c r="A14" s="2" t="n"/>
      <c r="B14" s="14">
        <f>IF(A14="","",IFERROR(VLOOKUP(A14,'マスタ'!$A:$F,2,FALSE),""))</f>
        <v/>
      </c>
      <c r="C14" s="14">
        <f>IF(A14="","",IFERROR(VLOOKUP(A14,'マスタ'!$A:$F,3,FALSE),""))</f>
        <v/>
      </c>
      <c r="D14" s="2" t="n"/>
      <c r="E14" s="2" t="n"/>
      <c r="F14" s="2" t="n"/>
      <c r="G14" s="2" t="n"/>
      <c r="H14" s="2" t="n"/>
      <c r="I14" s="15">
        <f>IF(A14="",0,IFERROR(VLOOKUP(A14,'マスタ'!$A:$F,4,FALSE),0))</f>
        <v/>
      </c>
      <c r="J14" s="15">
        <f>IF(A14="",0,IFERROR(VLOOKUP(A14,'マスタ'!$A:$F,5,FALSE),0))</f>
        <v/>
      </c>
      <c r="K14" s="15">
        <f>IF(A14="",0,ROUND(I14/160*1.25*H14,0))</f>
        <v/>
      </c>
      <c r="L14" s="15">
        <f>IF(A14="",0,IFERROR(VLOOKUP(A14,'マスタ'!$A:$F,6,FALSE),0))</f>
        <v/>
      </c>
      <c r="M14" s="16" t="n"/>
      <c r="N14" s="17">
        <f>SUM(I14:M14)</f>
        <v/>
      </c>
      <c r="O14" s="16" t="n"/>
      <c r="P14" s="16" t="n"/>
      <c r="Q14" s="16" t="n"/>
      <c r="R14" s="16" t="n"/>
      <c r="S14" s="16" t="n"/>
      <c r="T14" s="16" t="n"/>
      <c r="U14" s="17">
        <f>SUM(O14:T14)</f>
        <v/>
      </c>
      <c r="V14" s="17">
        <f>N14-U14</f>
        <v/>
      </c>
    </row>
    <row r="15" ht="18" customHeight="1">
      <c r="A15" s="18" t="inlineStr">
        <is>
          <t>合　計</t>
        </is>
      </c>
      <c r="D15" s="19">
        <f>SUM(D5:D14)</f>
        <v/>
      </c>
      <c r="E15" s="19">
        <f>SUM(E5:E14)</f>
        <v/>
      </c>
      <c r="F15" s="19">
        <f>SUM(F5:F14)</f>
        <v/>
      </c>
      <c r="G15" s="19">
        <f>SUM(G5:G14)</f>
        <v/>
      </c>
      <c r="H15" s="19">
        <f>SUM(H5:H14)</f>
        <v/>
      </c>
      <c r="I15" s="17">
        <f>SUM(I5:I14)</f>
        <v/>
      </c>
      <c r="J15" s="17">
        <f>SUM(J5:J14)</f>
        <v/>
      </c>
      <c r="K15" s="17">
        <f>SUM(K5:K14)</f>
        <v/>
      </c>
      <c r="L15" s="17">
        <f>SUM(L5:L14)</f>
        <v/>
      </c>
      <c r="M15" s="17">
        <f>SUM(M5:M14)</f>
        <v/>
      </c>
      <c r="N15" s="17">
        <f>SUM(N5:N14)</f>
        <v/>
      </c>
      <c r="O15" s="17">
        <f>SUM(O5:O14)</f>
        <v/>
      </c>
      <c r="P15" s="17">
        <f>SUM(P5:P14)</f>
        <v/>
      </c>
      <c r="Q15" s="17">
        <f>SUM(Q5:Q14)</f>
        <v/>
      </c>
      <c r="R15" s="17">
        <f>SUM(R5:R14)</f>
        <v/>
      </c>
      <c r="S15" s="17">
        <f>SUM(S5:S14)</f>
        <v/>
      </c>
      <c r="T15" s="17">
        <f>SUM(T5:T14)</f>
        <v/>
      </c>
      <c r="U15" s="17">
        <f>SUM(U5:U14)</f>
        <v/>
      </c>
      <c r="V15" s="17">
        <f>SUM(V5:V14)</f>
        <v/>
      </c>
    </row>
  </sheetData>
  <mergeCells count="8">
    <mergeCell ref="A1:V1"/>
    <mergeCell ref="L2:V2"/>
    <mergeCell ref="A2:K2"/>
    <mergeCell ref="O3:U3"/>
    <mergeCell ref="A3:C3"/>
    <mergeCell ref="I3:N3"/>
    <mergeCell ref="A15:C15"/>
    <mergeCell ref="D3:H3"/>
  </mergeCells>
  <pageMargins left="0.5" right="0.5" top="0.75" bottom="0.75" header="0.3" footer="0.3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12" customWidth="1" min="22" max="22"/>
  </cols>
  <sheetData>
    <row r="1" ht="26" customHeight="1">
      <c r="A1" s="6" t="inlineStr">
        <is>
          <t>給与台帳　3月分</t>
        </is>
      </c>
    </row>
    <row r="2" ht="18" customHeight="1">
      <c r="A2" s="7" t="inlineStr">
        <is>
          <t>会社名：株式会社サンプル</t>
        </is>
      </c>
      <c r="L2" s="8" t="inlineStr">
        <is>
          <t>作成日：2026年3月</t>
        </is>
      </c>
    </row>
    <row r="3" ht="30" customHeight="1">
      <c r="A3" s="1" t="inlineStr">
        <is>
          <t>基本情報</t>
        </is>
      </c>
      <c r="D3" s="1" t="inlineStr">
        <is>
          <t>勤　怠　情　報</t>
        </is>
      </c>
      <c r="I3" s="9" t="inlineStr">
        <is>
          <t>支　　給　　項　　目</t>
        </is>
      </c>
      <c r="O3" s="10" t="inlineStr">
        <is>
          <t>控　　除　　項　　目</t>
        </is>
      </c>
      <c r="V3" s="11" t="inlineStr">
        <is>
          <t>差引
支給額</t>
        </is>
      </c>
    </row>
    <row r="4" ht="30" customHeight="1">
      <c r="A4" s="12" t="inlineStr">
        <is>
          <t>従業員
番号</t>
        </is>
      </c>
      <c r="B4" s="12" t="inlineStr">
        <is>
          <t>氏名</t>
        </is>
      </c>
      <c r="C4" s="12" t="inlineStr">
        <is>
          <t>所属</t>
        </is>
      </c>
      <c r="D4" s="12" t="inlineStr">
        <is>
          <t>所定
労働日数</t>
        </is>
      </c>
      <c r="E4" s="12" t="inlineStr">
        <is>
          <t>出勤
日数</t>
        </is>
      </c>
      <c r="F4" s="12" t="inlineStr">
        <is>
          <t>欠勤
日数</t>
        </is>
      </c>
      <c r="G4" s="12" t="inlineStr">
        <is>
          <t>有給
取得日数</t>
        </is>
      </c>
      <c r="H4" s="12" t="inlineStr">
        <is>
          <t>残業
時間</t>
        </is>
      </c>
      <c r="I4" s="12" t="inlineStr">
        <is>
          <t>基本給</t>
        </is>
      </c>
      <c r="J4" s="12" t="inlineStr">
        <is>
          <t>役職
手当</t>
        </is>
      </c>
      <c r="K4" s="12" t="inlineStr">
        <is>
          <t>残業
手当</t>
        </is>
      </c>
      <c r="L4" s="12" t="inlineStr">
        <is>
          <t>通勤
手当</t>
        </is>
      </c>
      <c r="M4" s="12" t="inlineStr">
        <is>
          <t>その他
手当</t>
        </is>
      </c>
      <c r="N4" s="11" t="inlineStr">
        <is>
          <t>支給
合計</t>
        </is>
      </c>
      <c r="O4" s="12" t="inlineStr">
        <is>
          <t>健康
保険</t>
        </is>
      </c>
      <c r="P4" s="12" t="inlineStr">
        <is>
          <t>厚生
年金</t>
        </is>
      </c>
      <c r="Q4" s="12" t="inlineStr">
        <is>
          <t>雇用
保険</t>
        </is>
      </c>
      <c r="R4" s="12" t="inlineStr">
        <is>
          <t>所得税</t>
        </is>
      </c>
      <c r="S4" s="12" t="inlineStr">
        <is>
          <t>住民税</t>
        </is>
      </c>
      <c r="T4" s="12" t="inlineStr">
        <is>
          <t>その他
控除</t>
        </is>
      </c>
      <c r="U4" s="11" t="inlineStr">
        <is>
          <t>控除
合計</t>
        </is>
      </c>
      <c r="V4" s="11" t="inlineStr">
        <is>
          <t>差引
支給額</t>
        </is>
      </c>
    </row>
    <row r="5" ht="18" customHeight="1">
      <c r="A5" s="13" t="inlineStr">
        <is>
          <t>001</t>
        </is>
      </c>
      <c r="B5" s="14">
        <f>IF(A5="","",IFERROR(VLOOKUP(A5,'マスタ'!$A:$F,2,FALSE),""))</f>
        <v/>
      </c>
      <c r="C5" s="14">
        <f>IF(A5="","",IFERROR(VLOOKUP(A5,'マスタ'!$A:$F,3,FALSE),""))</f>
        <v/>
      </c>
      <c r="D5" s="2" t="n">
        <v>20</v>
      </c>
      <c r="E5" s="2" t="n">
        <v>20</v>
      </c>
      <c r="F5" s="2" t="n">
        <v>0</v>
      </c>
      <c r="G5" s="2" t="n">
        <v>0</v>
      </c>
      <c r="H5" s="2" t="n">
        <v>10</v>
      </c>
      <c r="I5" s="15">
        <f>IF(A5="",0,IFERROR(VLOOKUP(A5,'マスタ'!$A:$F,4,FALSE),0))</f>
        <v/>
      </c>
      <c r="J5" s="15">
        <f>IF(A5="",0,IFERROR(VLOOKUP(A5,'マスタ'!$A:$F,5,FALSE),0))</f>
        <v/>
      </c>
      <c r="K5" s="15">
        <f>IF(A5="",0,ROUND(I5/160*1.25*H5,0))</f>
        <v/>
      </c>
      <c r="L5" s="15">
        <f>IF(A5="",0,IFERROR(VLOOKUP(A5,'マスタ'!$A:$F,6,FALSE),0))</f>
        <v/>
      </c>
      <c r="M5" s="16" t="n">
        <v>0</v>
      </c>
      <c r="N5" s="17">
        <f>SUM(I5:M5)</f>
        <v/>
      </c>
      <c r="O5" s="16" t="n">
        <v>17500</v>
      </c>
      <c r="P5" s="16" t="n">
        <v>32490</v>
      </c>
      <c r="Q5" s="16" t="n">
        <v>2100</v>
      </c>
      <c r="R5" s="16" t="n">
        <v>8500</v>
      </c>
      <c r="S5" s="16" t="n">
        <v>12000</v>
      </c>
      <c r="T5" s="16" t="n">
        <v>0</v>
      </c>
      <c r="U5" s="17">
        <f>SUM(O5:T5)</f>
        <v/>
      </c>
      <c r="V5" s="17">
        <f>N5-U5</f>
        <v/>
      </c>
    </row>
    <row r="6" ht="18" customHeight="1">
      <c r="A6" s="13" t="inlineStr">
        <is>
          <t>002</t>
        </is>
      </c>
      <c r="B6" s="14">
        <f>IF(A6="","",IFERROR(VLOOKUP(A6,'マスタ'!$A:$F,2,FALSE),""))</f>
        <v/>
      </c>
      <c r="C6" s="14">
        <f>IF(A6="","",IFERROR(VLOOKUP(A6,'マスタ'!$A:$F,3,FALSE),""))</f>
        <v/>
      </c>
      <c r="D6" s="2" t="n">
        <v>20</v>
      </c>
      <c r="E6" s="2" t="n">
        <v>19</v>
      </c>
      <c r="F6" s="2" t="n">
        <v>1</v>
      </c>
      <c r="G6" s="2" t="n">
        <v>1</v>
      </c>
      <c r="H6" s="2" t="n">
        <v>5</v>
      </c>
      <c r="I6" s="15">
        <f>IF(A6="",0,IFERROR(VLOOKUP(A6,'マスタ'!$A:$F,4,FALSE),0))</f>
        <v/>
      </c>
      <c r="J6" s="15">
        <f>IF(A6="",0,IFERROR(VLOOKUP(A6,'マスタ'!$A:$F,5,FALSE),0))</f>
        <v/>
      </c>
      <c r="K6" s="15">
        <f>IF(A6="",0,ROUND(I6/160*1.25*H6,0))</f>
        <v/>
      </c>
      <c r="L6" s="15">
        <f>IF(A6="",0,IFERROR(VLOOKUP(A6,'マスタ'!$A:$F,6,FALSE),0))</f>
        <v/>
      </c>
      <c r="M6" s="16" t="n">
        <v>0</v>
      </c>
      <c r="N6" s="17">
        <f>SUM(I6:M6)</f>
        <v/>
      </c>
      <c r="O6" s="16" t="n">
        <v>14000</v>
      </c>
      <c r="P6" s="16" t="n">
        <v>25990</v>
      </c>
      <c r="Q6" s="16" t="n">
        <v>1680</v>
      </c>
      <c r="R6" s="16" t="n">
        <v>5500</v>
      </c>
      <c r="S6" s="16" t="n">
        <v>9000</v>
      </c>
      <c r="T6" s="16" t="n">
        <v>0</v>
      </c>
      <c r="U6" s="17">
        <f>SUM(O6:T6)</f>
        <v/>
      </c>
      <c r="V6" s="17">
        <f>N6-U6</f>
        <v/>
      </c>
    </row>
    <row r="7" ht="18" customHeight="1">
      <c r="A7" s="13" t="inlineStr">
        <is>
          <t>003</t>
        </is>
      </c>
      <c r="B7" s="14">
        <f>IF(A7="","",IFERROR(VLOOKUP(A7,'マスタ'!$A:$F,2,FALSE),""))</f>
        <v/>
      </c>
      <c r="C7" s="14">
        <f>IF(A7="","",IFERROR(VLOOKUP(A7,'マスタ'!$A:$F,3,FALSE),""))</f>
        <v/>
      </c>
      <c r="D7" s="2" t="n">
        <v>20</v>
      </c>
      <c r="E7" s="2" t="n">
        <v>20</v>
      </c>
      <c r="F7" s="2" t="n">
        <v>0</v>
      </c>
      <c r="G7" s="2" t="n">
        <v>2</v>
      </c>
      <c r="H7" s="2" t="n">
        <v>15</v>
      </c>
      <c r="I7" s="15">
        <f>IF(A7="",0,IFERROR(VLOOKUP(A7,'マスタ'!$A:$F,4,FALSE),0))</f>
        <v/>
      </c>
      <c r="J7" s="15">
        <f>IF(A7="",0,IFERROR(VLOOKUP(A7,'マスタ'!$A:$F,5,FALSE),0))</f>
        <v/>
      </c>
      <c r="K7" s="15">
        <f>IF(A7="",0,ROUND(I7/160*1.25*H7,0))</f>
        <v/>
      </c>
      <c r="L7" s="15">
        <f>IF(A7="",0,IFERROR(VLOOKUP(A7,'マスタ'!$A:$F,6,FALSE),0))</f>
        <v/>
      </c>
      <c r="M7" s="16" t="n">
        <v>0</v>
      </c>
      <c r="N7" s="17">
        <f>SUM(I7:M7)</f>
        <v/>
      </c>
      <c r="O7" s="16" t="n">
        <v>16000</v>
      </c>
      <c r="P7" s="16" t="n">
        <v>29730</v>
      </c>
      <c r="Q7" s="16" t="n">
        <v>1920</v>
      </c>
      <c r="R7" s="16" t="n">
        <v>7000</v>
      </c>
      <c r="S7" s="16" t="n">
        <v>10500</v>
      </c>
      <c r="T7" s="16" t="n">
        <v>0</v>
      </c>
      <c r="U7" s="17">
        <f>SUM(O7:T7)</f>
        <v/>
      </c>
      <c r="V7" s="17">
        <f>N7-U7</f>
        <v/>
      </c>
    </row>
    <row r="8" ht="18" customHeight="1">
      <c r="A8" s="2" t="n"/>
      <c r="B8" s="14">
        <f>IF(A8="","",IFERROR(VLOOKUP(A8,'マスタ'!$A:$F,2,FALSE),""))</f>
        <v/>
      </c>
      <c r="C8" s="14">
        <f>IF(A8="","",IFERROR(VLOOKUP(A8,'マスタ'!$A:$F,3,FALSE),""))</f>
        <v/>
      </c>
      <c r="D8" s="2" t="n"/>
      <c r="E8" s="2" t="n"/>
      <c r="F8" s="2" t="n"/>
      <c r="G8" s="2" t="n"/>
      <c r="H8" s="2" t="n"/>
      <c r="I8" s="15">
        <f>IF(A8="",0,IFERROR(VLOOKUP(A8,'マスタ'!$A:$F,4,FALSE),0))</f>
        <v/>
      </c>
      <c r="J8" s="15">
        <f>IF(A8="",0,IFERROR(VLOOKUP(A8,'マスタ'!$A:$F,5,FALSE),0))</f>
        <v/>
      </c>
      <c r="K8" s="15">
        <f>IF(A8="",0,ROUND(I8/160*1.25*H8,0))</f>
        <v/>
      </c>
      <c r="L8" s="15">
        <f>IF(A8="",0,IFERROR(VLOOKUP(A8,'マスタ'!$A:$F,6,FALSE),0))</f>
        <v/>
      </c>
      <c r="M8" s="16" t="n"/>
      <c r="N8" s="17">
        <f>SUM(I8:M8)</f>
        <v/>
      </c>
      <c r="O8" s="16" t="n"/>
      <c r="P8" s="16" t="n"/>
      <c r="Q8" s="16" t="n"/>
      <c r="R8" s="16" t="n"/>
      <c r="S8" s="16" t="n"/>
      <c r="T8" s="16" t="n"/>
      <c r="U8" s="17">
        <f>SUM(O8:T8)</f>
        <v/>
      </c>
      <c r="V8" s="17">
        <f>N8-U8</f>
        <v/>
      </c>
    </row>
    <row r="9" ht="18" customHeight="1">
      <c r="A9" s="2" t="n"/>
      <c r="B9" s="14">
        <f>IF(A9="","",IFERROR(VLOOKUP(A9,'マスタ'!$A:$F,2,FALSE),""))</f>
        <v/>
      </c>
      <c r="C9" s="14">
        <f>IF(A9="","",IFERROR(VLOOKUP(A9,'マスタ'!$A:$F,3,FALSE),""))</f>
        <v/>
      </c>
      <c r="D9" s="2" t="n"/>
      <c r="E9" s="2" t="n"/>
      <c r="F9" s="2" t="n"/>
      <c r="G9" s="2" t="n"/>
      <c r="H9" s="2" t="n"/>
      <c r="I9" s="15">
        <f>IF(A9="",0,IFERROR(VLOOKUP(A9,'マスタ'!$A:$F,4,FALSE),0))</f>
        <v/>
      </c>
      <c r="J9" s="15">
        <f>IF(A9="",0,IFERROR(VLOOKUP(A9,'マスタ'!$A:$F,5,FALSE),0))</f>
        <v/>
      </c>
      <c r="K9" s="15">
        <f>IF(A9="",0,ROUND(I9/160*1.25*H9,0))</f>
        <v/>
      </c>
      <c r="L9" s="15">
        <f>IF(A9="",0,IFERROR(VLOOKUP(A9,'マスタ'!$A:$F,6,FALSE),0))</f>
        <v/>
      </c>
      <c r="M9" s="16" t="n"/>
      <c r="N9" s="17">
        <f>SUM(I9:M9)</f>
        <v/>
      </c>
      <c r="O9" s="16" t="n"/>
      <c r="P9" s="16" t="n"/>
      <c r="Q9" s="16" t="n"/>
      <c r="R9" s="16" t="n"/>
      <c r="S9" s="16" t="n"/>
      <c r="T9" s="16" t="n"/>
      <c r="U9" s="17">
        <f>SUM(O9:T9)</f>
        <v/>
      </c>
      <c r="V9" s="17">
        <f>N9-U9</f>
        <v/>
      </c>
    </row>
    <row r="10" ht="18" customHeight="1">
      <c r="A10" s="2" t="n"/>
      <c r="B10" s="14">
        <f>IF(A10="","",IFERROR(VLOOKUP(A10,'マスタ'!$A:$F,2,FALSE),""))</f>
        <v/>
      </c>
      <c r="C10" s="14">
        <f>IF(A10="","",IFERROR(VLOOKUP(A10,'マスタ'!$A:$F,3,FALSE),""))</f>
        <v/>
      </c>
      <c r="D10" s="2" t="n"/>
      <c r="E10" s="2" t="n"/>
      <c r="F10" s="2" t="n"/>
      <c r="G10" s="2" t="n"/>
      <c r="H10" s="2" t="n"/>
      <c r="I10" s="15">
        <f>IF(A10="",0,IFERROR(VLOOKUP(A10,'マスタ'!$A:$F,4,FALSE),0))</f>
        <v/>
      </c>
      <c r="J10" s="15">
        <f>IF(A10="",0,IFERROR(VLOOKUP(A10,'マスタ'!$A:$F,5,FALSE),0))</f>
        <v/>
      </c>
      <c r="K10" s="15">
        <f>IF(A10="",0,ROUND(I10/160*1.25*H10,0))</f>
        <v/>
      </c>
      <c r="L10" s="15">
        <f>IF(A10="",0,IFERROR(VLOOKUP(A10,'マスタ'!$A:$F,6,FALSE),0))</f>
        <v/>
      </c>
      <c r="M10" s="16" t="n"/>
      <c r="N10" s="17">
        <f>SUM(I10:M10)</f>
        <v/>
      </c>
      <c r="O10" s="16" t="n"/>
      <c r="P10" s="16" t="n"/>
      <c r="Q10" s="16" t="n"/>
      <c r="R10" s="16" t="n"/>
      <c r="S10" s="16" t="n"/>
      <c r="T10" s="16" t="n"/>
      <c r="U10" s="17">
        <f>SUM(O10:T10)</f>
        <v/>
      </c>
      <c r="V10" s="17">
        <f>N10-U10</f>
        <v/>
      </c>
    </row>
    <row r="11" ht="18" customHeight="1">
      <c r="A11" s="2" t="n"/>
      <c r="B11" s="14">
        <f>IF(A11="","",IFERROR(VLOOKUP(A11,'マスタ'!$A:$F,2,FALSE),""))</f>
        <v/>
      </c>
      <c r="C11" s="14">
        <f>IF(A11="","",IFERROR(VLOOKUP(A11,'マスタ'!$A:$F,3,FALSE),""))</f>
        <v/>
      </c>
      <c r="D11" s="2" t="n"/>
      <c r="E11" s="2" t="n"/>
      <c r="F11" s="2" t="n"/>
      <c r="G11" s="2" t="n"/>
      <c r="H11" s="2" t="n"/>
      <c r="I11" s="15">
        <f>IF(A11="",0,IFERROR(VLOOKUP(A11,'マスタ'!$A:$F,4,FALSE),0))</f>
        <v/>
      </c>
      <c r="J11" s="15">
        <f>IF(A11="",0,IFERROR(VLOOKUP(A11,'マスタ'!$A:$F,5,FALSE),0))</f>
        <v/>
      </c>
      <c r="K11" s="15">
        <f>IF(A11="",0,ROUND(I11/160*1.25*H11,0))</f>
        <v/>
      </c>
      <c r="L11" s="15">
        <f>IF(A11="",0,IFERROR(VLOOKUP(A11,'マスタ'!$A:$F,6,FALSE),0))</f>
        <v/>
      </c>
      <c r="M11" s="16" t="n"/>
      <c r="N11" s="17">
        <f>SUM(I11:M11)</f>
        <v/>
      </c>
      <c r="O11" s="16" t="n"/>
      <c r="P11" s="16" t="n"/>
      <c r="Q11" s="16" t="n"/>
      <c r="R11" s="16" t="n"/>
      <c r="S11" s="16" t="n"/>
      <c r="T11" s="16" t="n"/>
      <c r="U11" s="17">
        <f>SUM(O11:T11)</f>
        <v/>
      </c>
      <c r="V11" s="17">
        <f>N11-U11</f>
        <v/>
      </c>
    </row>
    <row r="12" ht="18" customHeight="1">
      <c r="A12" s="2" t="n"/>
      <c r="B12" s="14">
        <f>IF(A12="","",IFERROR(VLOOKUP(A12,'マスタ'!$A:$F,2,FALSE),""))</f>
        <v/>
      </c>
      <c r="C12" s="14">
        <f>IF(A12="","",IFERROR(VLOOKUP(A12,'マスタ'!$A:$F,3,FALSE),""))</f>
        <v/>
      </c>
      <c r="D12" s="2" t="n"/>
      <c r="E12" s="2" t="n"/>
      <c r="F12" s="2" t="n"/>
      <c r="G12" s="2" t="n"/>
      <c r="H12" s="2" t="n"/>
      <c r="I12" s="15">
        <f>IF(A12="",0,IFERROR(VLOOKUP(A12,'マスタ'!$A:$F,4,FALSE),0))</f>
        <v/>
      </c>
      <c r="J12" s="15">
        <f>IF(A12="",0,IFERROR(VLOOKUP(A12,'マスタ'!$A:$F,5,FALSE),0))</f>
        <v/>
      </c>
      <c r="K12" s="15">
        <f>IF(A12="",0,ROUND(I12/160*1.25*H12,0))</f>
        <v/>
      </c>
      <c r="L12" s="15">
        <f>IF(A12="",0,IFERROR(VLOOKUP(A12,'マスタ'!$A:$F,6,FALSE),0))</f>
        <v/>
      </c>
      <c r="M12" s="16" t="n"/>
      <c r="N12" s="17">
        <f>SUM(I12:M12)</f>
        <v/>
      </c>
      <c r="O12" s="16" t="n"/>
      <c r="P12" s="16" t="n"/>
      <c r="Q12" s="16" t="n"/>
      <c r="R12" s="16" t="n"/>
      <c r="S12" s="16" t="n"/>
      <c r="T12" s="16" t="n"/>
      <c r="U12" s="17">
        <f>SUM(O12:T12)</f>
        <v/>
      </c>
      <c r="V12" s="17">
        <f>N12-U12</f>
        <v/>
      </c>
    </row>
    <row r="13" ht="18" customHeight="1">
      <c r="A13" s="2" t="n"/>
      <c r="B13" s="14">
        <f>IF(A13="","",IFERROR(VLOOKUP(A13,'マスタ'!$A:$F,2,FALSE),""))</f>
        <v/>
      </c>
      <c r="C13" s="14">
        <f>IF(A13="","",IFERROR(VLOOKUP(A13,'マスタ'!$A:$F,3,FALSE),""))</f>
        <v/>
      </c>
      <c r="D13" s="2" t="n"/>
      <c r="E13" s="2" t="n"/>
      <c r="F13" s="2" t="n"/>
      <c r="G13" s="2" t="n"/>
      <c r="H13" s="2" t="n"/>
      <c r="I13" s="15">
        <f>IF(A13="",0,IFERROR(VLOOKUP(A13,'マスタ'!$A:$F,4,FALSE),0))</f>
        <v/>
      </c>
      <c r="J13" s="15">
        <f>IF(A13="",0,IFERROR(VLOOKUP(A13,'マスタ'!$A:$F,5,FALSE),0))</f>
        <v/>
      </c>
      <c r="K13" s="15">
        <f>IF(A13="",0,ROUND(I13/160*1.25*H13,0))</f>
        <v/>
      </c>
      <c r="L13" s="15">
        <f>IF(A13="",0,IFERROR(VLOOKUP(A13,'マスタ'!$A:$F,6,FALSE),0))</f>
        <v/>
      </c>
      <c r="M13" s="16" t="n"/>
      <c r="N13" s="17">
        <f>SUM(I13:M13)</f>
        <v/>
      </c>
      <c r="O13" s="16" t="n"/>
      <c r="P13" s="16" t="n"/>
      <c r="Q13" s="16" t="n"/>
      <c r="R13" s="16" t="n"/>
      <c r="S13" s="16" t="n"/>
      <c r="T13" s="16" t="n"/>
      <c r="U13" s="17">
        <f>SUM(O13:T13)</f>
        <v/>
      </c>
      <c r="V13" s="17">
        <f>N13-U13</f>
        <v/>
      </c>
    </row>
    <row r="14" ht="18" customHeight="1">
      <c r="A14" s="2" t="n"/>
      <c r="B14" s="14">
        <f>IF(A14="","",IFERROR(VLOOKUP(A14,'マスタ'!$A:$F,2,FALSE),""))</f>
        <v/>
      </c>
      <c r="C14" s="14">
        <f>IF(A14="","",IFERROR(VLOOKUP(A14,'マスタ'!$A:$F,3,FALSE),""))</f>
        <v/>
      </c>
      <c r="D14" s="2" t="n"/>
      <c r="E14" s="2" t="n"/>
      <c r="F14" s="2" t="n"/>
      <c r="G14" s="2" t="n"/>
      <c r="H14" s="2" t="n"/>
      <c r="I14" s="15">
        <f>IF(A14="",0,IFERROR(VLOOKUP(A14,'マスタ'!$A:$F,4,FALSE),0))</f>
        <v/>
      </c>
      <c r="J14" s="15">
        <f>IF(A14="",0,IFERROR(VLOOKUP(A14,'マスタ'!$A:$F,5,FALSE),0))</f>
        <v/>
      </c>
      <c r="K14" s="15">
        <f>IF(A14="",0,ROUND(I14/160*1.25*H14,0))</f>
        <v/>
      </c>
      <c r="L14" s="15">
        <f>IF(A14="",0,IFERROR(VLOOKUP(A14,'マスタ'!$A:$F,6,FALSE),0))</f>
        <v/>
      </c>
      <c r="M14" s="16" t="n"/>
      <c r="N14" s="17">
        <f>SUM(I14:M14)</f>
        <v/>
      </c>
      <c r="O14" s="16" t="n"/>
      <c r="P14" s="16" t="n"/>
      <c r="Q14" s="16" t="n"/>
      <c r="R14" s="16" t="n"/>
      <c r="S14" s="16" t="n"/>
      <c r="T14" s="16" t="n"/>
      <c r="U14" s="17">
        <f>SUM(O14:T14)</f>
        <v/>
      </c>
      <c r="V14" s="17">
        <f>N14-U14</f>
        <v/>
      </c>
    </row>
    <row r="15" ht="18" customHeight="1">
      <c r="A15" s="18" t="inlineStr">
        <is>
          <t>合　計</t>
        </is>
      </c>
      <c r="D15" s="19">
        <f>SUM(D5:D14)</f>
        <v/>
      </c>
      <c r="E15" s="19">
        <f>SUM(E5:E14)</f>
        <v/>
      </c>
      <c r="F15" s="19">
        <f>SUM(F5:F14)</f>
        <v/>
      </c>
      <c r="G15" s="19">
        <f>SUM(G5:G14)</f>
        <v/>
      </c>
      <c r="H15" s="19">
        <f>SUM(H5:H14)</f>
        <v/>
      </c>
      <c r="I15" s="17">
        <f>SUM(I5:I14)</f>
        <v/>
      </c>
      <c r="J15" s="17">
        <f>SUM(J5:J14)</f>
        <v/>
      </c>
      <c r="K15" s="17">
        <f>SUM(K5:K14)</f>
        <v/>
      </c>
      <c r="L15" s="17">
        <f>SUM(L5:L14)</f>
        <v/>
      </c>
      <c r="M15" s="17">
        <f>SUM(M5:M14)</f>
        <v/>
      </c>
      <c r="N15" s="17">
        <f>SUM(N5:N14)</f>
        <v/>
      </c>
      <c r="O15" s="17">
        <f>SUM(O5:O14)</f>
        <v/>
      </c>
      <c r="P15" s="17">
        <f>SUM(P5:P14)</f>
        <v/>
      </c>
      <c r="Q15" s="17">
        <f>SUM(Q5:Q14)</f>
        <v/>
      </c>
      <c r="R15" s="17">
        <f>SUM(R5:R14)</f>
        <v/>
      </c>
      <c r="S15" s="17">
        <f>SUM(S5:S14)</f>
        <v/>
      </c>
      <c r="T15" s="17">
        <f>SUM(T5:T14)</f>
        <v/>
      </c>
      <c r="U15" s="17">
        <f>SUM(U5:U14)</f>
        <v/>
      </c>
      <c r="V15" s="17">
        <f>SUM(V5:V14)</f>
        <v/>
      </c>
    </row>
  </sheetData>
  <mergeCells count="8">
    <mergeCell ref="A1:V1"/>
    <mergeCell ref="L2:V2"/>
    <mergeCell ref="A2:K2"/>
    <mergeCell ref="O3:U3"/>
    <mergeCell ref="A3:C3"/>
    <mergeCell ref="I3:N3"/>
    <mergeCell ref="A15:C15"/>
    <mergeCell ref="D3:H3"/>
  </mergeCells>
  <pageMargins left="0.5" right="0.5" top="0.75" bottom="0.75" header="0.3" footer="0.3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12" customWidth="1" min="22" max="22"/>
  </cols>
  <sheetData>
    <row r="1" ht="26" customHeight="1">
      <c r="A1" s="6" t="inlineStr">
        <is>
          <t>給与台帳　4月分</t>
        </is>
      </c>
    </row>
    <row r="2" ht="18" customHeight="1">
      <c r="A2" s="7" t="inlineStr">
        <is>
          <t>会社名：株式会社サンプル</t>
        </is>
      </c>
      <c r="L2" s="8" t="inlineStr">
        <is>
          <t>作成日：2026年4月</t>
        </is>
      </c>
    </row>
    <row r="3" ht="30" customHeight="1">
      <c r="A3" s="1" t="inlineStr">
        <is>
          <t>基本情報</t>
        </is>
      </c>
      <c r="D3" s="1" t="inlineStr">
        <is>
          <t>勤　怠　情　報</t>
        </is>
      </c>
      <c r="I3" s="9" t="inlineStr">
        <is>
          <t>支　　給　　項　　目</t>
        </is>
      </c>
      <c r="O3" s="10" t="inlineStr">
        <is>
          <t>控　　除　　項　　目</t>
        </is>
      </c>
      <c r="V3" s="11" t="inlineStr">
        <is>
          <t>差引
支給額</t>
        </is>
      </c>
    </row>
    <row r="4" ht="30" customHeight="1">
      <c r="A4" s="12" t="inlineStr">
        <is>
          <t>従業員
番号</t>
        </is>
      </c>
      <c r="B4" s="12" t="inlineStr">
        <is>
          <t>氏名</t>
        </is>
      </c>
      <c r="C4" s="12" t="inlineStr">
        <is>
          <t>所属</t>
        </is>
      </c>
      <c r="D4" s="12" t="inlineStr">
        <is>
          <t>所定
労働日数</t>
        </is>
      </c>
      <c r="E4" s="12" t="inlineStr">
        <is>
          <t>出勤
日数</t>
        </is>
      </c>
      <c r="F4" s="12" t="inlineStr">
        <is>
          <t>欠勤
日数</t>
        </is>
      </c>
      <c r="G4" s="12" t="inlineStr">
        <is>
          <t>有給
取得日数</t>
        </is>
      </c>
      <c r="H4" s="12" t="inlineStr">
        <is>
          <t>残業
時間</t>
        </is>
      </c>
      <c r="I4" s="12" t="inlineStr">
        <is>
          <t>基本給</t>
        </is>
      </c>
      <c r="J4" s="12" t="inlineStr">
        <is>
          <t>役職
手当</t>
        </is>
      </c>
      <c r="K4" s="12" t="inlineStr">
        <is>
          <t>残業
手当</t>
        </is>
      </c>
      <c r="L4" s="12" t="inlineStr">
        <is>
          <t>通勤
手当</t>
        </is>
      </c>
      <c r="M4" s="12" t="inlineStr">
        <is>
          <t>その他
手当</t>
        </is>
      </c>
      <c r="N4" s="11" t="inlineStr">
        <is>
          <t>支給
合計</t>
        </is>
      </c>
      <c r="O4" s="12" t="inlineStr">
        <is>
          <t>健康
保険</t>
        </is>
      </c>
      <c r="P4" s="12" t="inlineStr">
        <is>
          <t>厚生
年金</t>
        </is>
      </c>
      <c r="Q4" s="12" t="inlineStr">
        <is>
          <t>雇用
保険</t>
        </is>
      </c>
      <c r="R4" s="12" t="inlineStr">
        <is>
          <t>所得税</t>
        </is>
      </c>
      <c r="S4" s="12" t="inlineStr">
        <is>
          <t>住民税</t>
        </is>
      </c>
      <c r="T4" s="12" t="inlineStr">
        <is>
          <t>その他
控除</t>
        </is>
      </c>
      <c r="U4" s="11" t="inlineStr">
        <is>
          <t>控除
合計</t>
        </is>
      </c>
      <c r="V4" s="11" t="inlineStr">
        <is>
          <t>差引
支給額</t>
        </is>
      </c>
    </row>
    <row r="5" ht="18" customHeight="1">
      <c r="A5" s="13" t="inlineStr">
        <is>
          <t>001</t>
        </is>
      </c>
      <c r="B5" s="14">
        <f>IF(A5="","",IFERROR(VLOOKUP(A5,'マスタ'!$A:$F,2,FALSE),""))</f>
        <v/>
      </c>
      <c r="C5" s="14">
        <f>IF(A5="","",IFERROR(VLOOKUP(A5,'マスタ'!$A:$F,3,FALSE),""))</f>
        <v/>
      </c>
      <c r="D5" s="2" t="n">
        <v>20</v>
      </c>
      <c r="E5" s="2" t="n">
        <v>20</v>
      </c>
      <c r="F5" s="2" t="n">
        <v>0</v>
      </c>
      <c r="G5" s="2" t="n">
        <v>0</v>
      </c>
      <c r="H5" s="2" t="n">
        <v>10</v>
      </c>
      <c r="I5" s="15">
        <f>IF(A5="",0,IFERROR(VLOOKUP(A5,'マスタ'!$A:$F,4,FALSE),0))</f>
        <v/>
      </c>
      <c r="J5" s="15">
        <f>IF(A5="",0,IFERROR(VLOOKUP(A5,'マスタ'!$A:$F,5,FALSE),0))</f>
        <v/>
      </c>
      <c r="K5" s="15">
        <f>IF(A5="",0,ROUND(I5/160*1.25*H5,0))</f>
        <v/>
      </c>
      <c r="L5" s="15">
        <f>IF(A5="",0,IFERROR(VLOOKUP(A5,'マスタ'!$A:$F,6,FALSE),0))</f>
        <v/>
      </c>
      <c r="M5" s="16" t="n">
        <v>0</v>
      </c>
      <c r="N5" s="17">
        <f>SUM(I5:M5)</f>
        <v/>
      </c>
      <c r="O5" s="16" t="n">
        <v>17500</v>
      </c>
      <c r="P5" s="16" t="n">
        <v>32490</v>
      </c>
      <c r="Q5" s="16" t="n">
        <v>2100</v>
      </c>
      <c r="R5" s="16" t="n">
        <v>8500</v>
      </c>
      <c r="S5" s="16" t="n">
        <v>12000</v>
      </c>
      <c r="T5" s="16" t="n">
        <v>0</v>
      </c>
      <c r="U5" s="17">
        <f>SUM(O5:T5)</f>
        <v/>
      </c>
      <c r="V5" s="17">
        <f>N5-U5</f>
        <v/>
      </c>
    </row>
    <row r="6" ht="18" customHeight="1">
      <c r="A6" s="13" t="inlineStr">
        <is>
          <t>002</t>
        </is>
      </c>
      <c r="B6" s="14">
        <f>IF(A6="","",IFERROR(VLOOKUP(A6,'マスタ'!$A:$F,2,FALSE),""))</f>
        <v/>
      </c>
      <c r="C6" s="14">
        <f>IF(A6="","",IFERROR(VLOOKUP(A6,'マスタ'!$A:$F,3,FALSE),""))</f>
        <v/>
      </c>
      <c r="D6" s="2" t="n">
        <v>20</v>
      </c>
      <c r="E6" s="2" t="n">
        <v>19</v>
      </c>
      <c r="F6" s="2" t="n">
        <v>1</v>
      </c>
      <c r="G6" s="2" t="n">
        <v>1</v>
      </c>
      <c r="H6" s="2" t="n">
        <v>5</v>
      </c>
      <c r="I6" s="15">
        <f>IF(A6="",0,IFERROR(VLOOKUP(A6,'マスタ'!$A:$F,4,FALSE),0))</f>
        <v/>
      </c>
      <c r="J6" s="15">
        <f>IF(A6="",0,IFERROR(VLOOKUP(A6,'マスタ'!$A:$F,5,FALSE),0))</f>
        <v/>
      </c>
      <c r="K6" s="15">
        <f>IF(A6="",0,ROUND(I6/160*1.25*H6,0))</f>
        <v/>
      </c>
      <c r="L6" s="15">
        <f>IF(A6="",0,IFERROR(VLOOKUP(A6,'マスタ'!$A:$F,6,FALSE),0))</f>
        <v/>
      </c>
      <c r="M6" s="16" t="n">
        <v>0</v>
      </c>
      <c r="N6" s="17">
        <f>SUM(I6:M6)</f>
        <v/>
      </c>
      <c r="O6" s="16" t="n">
        <v>14000</v>
      </c>
      <c r="P6" s="16" t="n">
        <v>25990</v>
      </c>
      <c r="Q6" s="16" t="n">
        <v>1680</v>
      </c>
      <c r="R6" s="16" t="n">
        <v>5500</v>
      </c>
      <c r="S6" s="16" t="n">
        <v>9000</v>
      </c>
      <c r="T6" s="16" t="n">
        <v>0</v>
      </c>
      <c r="U6" s="17">
        <f>SUM(O6:T6)</f>
        <v/>
      </c>
      <c r="V6" s="17">
        <f>N6-U6</f>
        <v/>
      </c>
    </row>
    <row r="7" ht="18" customHeight="1">
      <c r="A7" s="13" t="inlineStr">
        <is>
          <t>003</t>
        </is>
      </c>
      <c r="B7" s="14">
        <f>IF(A7="","",IFERROR(VLOOKUP(A7,'マスタ'!$A:$F,2,FALSE),""))</f>
        <v/>
      </c>
      <c r="C7" s="14">
        <f>IF(A7="","",IFERROR(VLOOKUP(A7,'マスタ'!$A:$F,3,FALSE),""))</f>
        <v/>
      </c>
      <c r="D7" s="2" t="n">
        <v>20</v>
      </c>
      <c r="E7" s="2" t="n">
        <v>20</v>
      </c>
      <c r="F7" s="2" t="n">
        <v>0</v>
      </c>
      <c r="G7" s="2" t="n">
        <v>2</v>
      </c>
      <c r="H7" s="2" t="n">
        <v>15</v>
      </c>
      <c r="I7" s="15">
        <f>IF(A7="",0,IFERROR(VLOOKUP(A7,'マスタ'!$A:$F,4,FALSE),0))</f>
        <v/>
      </c>
      <c r="J7" s="15">
        <f>IF(A7="",0,IFERROR(VLOOKUP(A7,'マスタ'!$A:$F,5,FALSE),0))</f>
        <v/>
      </c>
      <c r="K7" s="15">
        <f>IF(A7="",0,ROUND(I7/160*1.25*H7,0))</f>
        <v/>
      </c>
      <c r="L7" s="15">
        <f>IF(A7="",0,IFERROR(VLOOKUP(A7,'マスタ'!$A:$F,6,FALSE),0))</f>
        <v/>
      </c>
      <c r="M7" s="16" t="n">
        <v>0</v>
      </c>
      <c r="N7" s="17">
        <f>SUM(I7:M7)</f>
        <v/>
      </c>
      <c r="O7" s="16" t="n">
        <v>16000</v>
      </c>
      <c r="P7" s="16" t="n">
        <v>29730</v>
      </c>
      <c r="Q7" s="16" t="n">
        <v>1920</v>
      </c>
      <c r="R7" s="16" t="n">
        <v>7000</v>
      </c>
      <c r="S7" s="16" t="n">
        <v>10500</v>
      </c>
      <c r="T7" s="16" t="n">
        <v>0</v>
      </c>
      <c r="U7" s="17">
        <f>SUM(O7:T7)</f>
        <v/>
      </c>
      <c r="V7" s="17">
        <f>N7-U7</f>
        <v/>
      </c>
    </row>
    <row r="8" ht="18" customHeight="1">
      <c r="A8" s="2" t="n"/>
      <c r="B8" s="14">
        <f>IF(A8="","",IFERROR(VLOOKUP(A8,'マスタ'!$A:$F,2,FALSE),""))</f>
        <v/>
      </c>
      <c r="C8" s="14">
        <f>IF(A8="","",IFERROR(VLOOKUP(A8,'マスタ'!$A:$F,3,FALSE),""))</f>
        <v/>
      </c>
      <c r="D8" s="2" t="n"/>
      <c r="E8" s="2" t="n"/>
      <c r="F8" s="2" t="n"/>
      <c r="G8" s="2" t="n"/>
      <c r="H8" s="2" t="n"/>
      <c r="I8" s="15">
        <f>IF(A8="",0,IFERROR(VLOOKUP(A8,'マスタ'!$A:$F,4,FALSE),0))</f>
        <v/>
      </c>
      <c r="J8" s="15">
        <f>IF(A8="",0,IFERROR(VLOOKUP(A8,'マスタ'!$A:$F,5,FALSE),0))</f>
        <v/>
      </c>
      <c r="K8" s="15">
        <f>IF(A8="",0,ROUND(I8/160*1.25*H8,0))</f>
        <v/>
      </c>
      <c r="L8" s="15">
        <f>IF(A8="",0,IFERROR(VLOOKUP(A8,'マスタ'!$A:$F,6,FALSE),0))</f>
        <v/>
      </c>
      <c r="M8" s="16" t="n"/>
      <c r="N8" s="17">
        <f>SUM(I8:M8)</f>
        <v/>
      </c>
      <c r="O8" s="16" t="n"/>
      <c r="P8" s="16" t="n"/>
      <c r="Q8" s="16" t="n"/>
      <c r="R8" s="16" t="n"/>
      <c r="S8" s="16" t="n"/>
      <c r="T8" s="16" t="n"/>
      <c r="U8" s="17">
        <f>SUM(O8:T8)</f>
        <v/>
      </c>
      <c r="V8" s="17">
        <f>N8-U8</f>
        <v/>
      </c>
    </row>
    <row r="9" ht="18" customHeight="1">
      <c r="A9" s="2" t="n"/>
      <c r="B9" s="14">
        <f>IF(A9="","",IFERROR(VLOOKUP(A9,'マスタ'!$A:$F,2,FALSE),""))</f>
        <v/>
      </c>
      <c r="C9" s="14">
        <f>IF(A9="","",IFERROR(VLOOKUP(A9,'マスタ'!$A:$F,3,FALSE),""))</f>
        <v/>
      </c>
      <c r="D9" s="2" t="n"/>
      <c r="E9" s="2" t="n"/>
      <c r="F9" s="2" t="n"/>
      <c r="G9" s="2" t="n"/>
      <c r="H9" s="2" t="n"/>
      <c r="I9" s="15">
        <f>IF(A9="",0,IFERROR(VLOOKUP(A9,'マスタ'!$A:$F,4,FALSE),0))</f>
        <v/>
      </c>
      <c r="J9" s="15">
        <f>IF(A9="",0,IFERROR(VLOOKUP(A9,'マスタ'!$A:$F,5,FALSE),0))</f>
        <v/>
      </c>
      <c r="K9" s="15">
        <f>IF(A9="",0,ROUND(I9/160*1.25*H9,0))</f>
        <v/>
      </c>
      <c r="L9" s="15">
        <f>IF(A9="",0,IFERROR(VLOOKUP(A9,'マスタ'!$A:$F,6,FALSE),0))</f>
        <v/>
      </c>
      <c r="M9" s="16" t="n"/>
      <c r="N9" s="17">
        <f>SUM(I9:M9)</f>
        <v/>
      </c>
      <c r="O9" s="16" t="n"/>
      <c r="P9" s="16" t="n"/>
      <c r="Q9" s="16" t="n"/>
      <c r="R9" s="16" t="n"/>
      <c r="S9" s="16" t="n"/>
      <c r="T9" s="16" t="n"/>
      <c r="U9" s="17">
        <f>SUM(O9:T9)</f>
        <v/>
      </c>
      <c r="V9" s="17">
        <f>N9-U9</f>
        <v/>
      </c>
    </row>
    <row r="10" ht="18" customHeight="1">
      <c r="A10" s="2" t="n"/>
      <c r="B10" s="14">
        <f>IF(A10="","",IFERROR(VLOOKUP(A10,'マスタ'!$A:$F,2,FALSE),""))</f>
        <v/>
      </c>
      <c r="C10" s="14">
        <f>IF(A10="","",IFERROR(VLOOKUP(A10,'マスタ'!$A:$F,3,FALSE),""))</f>
        <v/>
      </c>
      <c r="D10" s="2" t="n"/>
      <c r="E10" s="2" t="n"/>
      <c r="F10" s="2" t="n"/>
      <c r="G10" s="2" t="n"/>
      <c r="H10" s="2" t="n"/>
      <c r="I10" s="15">
        <f>IF(A10="",0,IFERROR(VLOOKUP(A10,'マスタ'!$A:$F,4,FALSE),0))</f>
        <v/>
      </c>
      <c r="J10" s="15">
        <f>IF(A10="",0,IFERROR(VLOOKUP(A10,'マスタ'!$A:$F,5,FALSE),0))</f>
        <v/>
      </c>
      <c r="K10" s="15">
        <f>IF(A10="",0,ROUND(I10/160*1.25*H10,0))</f>
        <v/>
      </c>
      <c r="L10" s="15">
        <f>IF(A10="",0,IFERROR(VLOOKUP(A10,'マスタ'!$A:$F,6,FALSE),0))</f>
        <v/>
      </c>
      <c r="M10" s="16" t="n"/>
      <c r="N10" s="17">
        <f>SUM(I10:M10)</f>
        <v/>
      </c>
      <c r="O10" s="16" t="n"/>
      <c r="P10" s="16" t="n"/>
      <c r="Q10" s="16" t="n"/>
      <c r="R10" s="16" t="n"/>
      <c r="S10" s="16" t="n"/>
      <c r="T10" s="16" t="n"/>
      <c r="U10" s="17">
        <f>SUM(O10:T10)</f>
        <v/>
      </c>
      <c r="V10" s="17">
        <f>N10-U10</f>
        <v/>
      </c>
    </row>
    <row r="11" ht="18" customHeight="1">
      <c r="A11" s="2" t="n"/>
      <c r="B11" s="14">
        <f>IF(A11="","",IFERROR(VLOOKUP(A11,'マスタ'!$A:$F,2,FALSE),""))</f>
        <v/>
      </c>
      <c r="C11" s="14">
        <f>IF(A11="","",IFERROR(VLOOKUP(A11,'マスタ'!$A:$F,3,FALSE),""))</f>
        <v/>
      </c>
      <c r="D11" s="2" t="n"/>
      <c r="E11" s="2" t="n"/>
      <c r="F11" s="2" t="n"/>
      <c r="G11" s="2" t="n"/>
      <c r="H11" s="2" t="n"/>
      <c r="I11" s="15">
        <f>IF(A11="",0,IFERROR(VLOOKUP(A11,'マスタ'!$A:$F,4,FALSE),0))</f>
        <v/>
      </c>
      <c r="J11" s="15">
        <f>IF(A11="",0,IFERROR(VLOOKUP(A11,'マスタ'!$A:$F,5,FALSE),0))</f>
        <v/>
      </c>
      <c r="K11" s="15">
        <f>IF(A11="",0,ROUND(I11/160*1.25*H11,0))</f>
        <v/>
      </c>
      <c r="L11" s="15">
        <f>IF(A11="",0,IFERROR(VLOOKUP(A11,'マスタ'!$A:$F,6,FALSE),0))</f>
        <v/>
      </c>
      <c r="M11" s="16" t="n"/>
      <c r="N11" s="17">
        <f>SUM(I11:M11)</f>
        <v/>
      </c>
      <c r="O11" s="16" t="n"/>
      <c r="P11" s="16" t="n"/>
      <c r="Q11" s="16" t="n"/>
      <c r="R11" s="16" t="n"/>
      <c r="S11" s="16" t="n"/>
      <c r="T11" s="16" t="n"/>
      <c r="U11" s="17">
        <f>SUM(O11:T11)</f>
        <v/>
      </c>
      <c r="V11" s="17">
        <f>N11-U11</f>
        <v/>
      </c>
    </row>
    <row r="12" ht="18" customHeight="1">
      <c r="A12" s="2" t="n"/>
      <c r="B12" s="14">
        <f>IF(A12="","",IFERROR(VLOOKUP(A12,'マスタ'!$A:$F,2,FALSE),""))</f>
        <v/>
      </c>
      <c r="C12" s="14">
        <f>IF(A12="","",IFERROR(VLOOKUP(A12,'マスタ'!$A:$F,3,FALSE),""))</f>
        <v/>
      </c>
      <c r="D12" s="2" t="n"/>
      <c r="E12" s="2" t="n"/>
      <c r="F12" s="2" t="n"/>
      <c r="G12" s="2" t="n"/>
      <c r="H12" s="2" t="n"/>
      <c r="I12" s="15">
        <f>IF(A12="",0,IFERROR(VLOOKUP(A12,'マスタ'!$A:$F,4,FALSE),0))</f>
        <v/>
      </c>
      <c r="J12" s="15">
        <f>IF(A12="",0,IFERROR(VLOOKUP(A12,'マスタ'!$A:$F,5,FALSE),0))</f>
        <v/>
      </c>
      <c r="K12" s="15">
        <f>IF(A12="",0,ROUND(I12/160*1.25*H12,0))</f>
        <v/>
      </c>
      <c r="L12" s="15">
        <f>IF(A12="",0,IFERROR(VLOOKUP(A12,'マスタ'!$A:$F,6,FALSE),0))</f>
        <v/>
      </c>
      <c r="M12" s="16" t="n"/>
      <c r="N12" s="17">
        <f>SUM(I12:M12)</f>
        <v/>
      </c>
      <c r="O12" s="16" t="n"/>
      <c r="P12" s="16" t="n"/>
      <c r="Q12" s="16" t="n"/>
      <c r="R12" s="16" t="n"/>
      <c r="S12" s="16" t="n"/>
      <c r="T12" s="16" t="n"/>
      <c r="U12" s="17">
        <f>SUM(O12:T12)</f>
        <v/>
      </c>
      <c r="V12" s="17">
        <f>N12-U12</f>
        <v/>
      </c>
    </row>
    <row r="13" ht="18" customHeight="1">
      <c r="A13" s="2" t="n"/>
      <c r="B13" s="14">
        <f>IF(A13="","",IFERROR(VLOOKUP(A13,'マスタ'!$A:$F,2,FALSE),""))</f>
        <v/>
      </c>
      <c r="C13" s="14">
        <f>IF(A13="","",IFERROR(VLOOKUP(A13,'マスタ'!$A:$F,3,FALSE),""))</f>
        <v/>
      </c>
      <c r="D13" s="2" t="n"/>
      <c r="E13" s="2" t="n"/>
      <c r="F13" s="2" t="n"/>
      <c r="G13" s="2" t="n"/>
      <c r="H13" s="2" t="n"/>
      <c r="I13" s="15">
        <f>IF(A13="",0,IFERROR(VLOOKUP(A13,'マスタ'!$A:$F,4,FALSE),0))</f>
        <v/>
      </c>
      <c r="J13" s="15">
        <f>IF(A13="",0,IFERROR(VLOOKUP(A13,'マスタ'!$A:$F,5,FALSE),0))</f>
        <v/>
      </c>
      <c r="K13" s="15">
        <f>IF(A13="",0,ROUND(I13/160*1.25*H13,0))</f>
        <v/>
      </c>
      <c r="L13" s="15">
        <f>IF(A13="",0,IFERROR(VLOOKUP(A13,'マスタ'!$A:$F,6,FALSE),0))</f>
        <v/>
      </c>
      <c r="M13" s="16" t="n"/>
      <c r="N13" s="17">
        <f>SUM(I13:M13)</f>
        <v/>
      </c>
      <c r="O13" s="16" t="n"/>
      <c r="P13" s="16" t="n"/>
      <c r="Q13" s="16" t="n"/>
      <c r="R13" s="16" t="n"/>
      <c r="S13" s="16" t="n"/>
      <c r="T13" s="16" t="n"/>
      <c r="U13" s="17">
        <f>SUM(O13:T13)</f>
        <v/>
      </c>
      <c r="V13" s="17">
        <f>N13-U13</f>
        <v/>
      </c>
    </row>
    <row r="14" ht="18" customHeight="1">
      <c r="A14" s="2" t="n"/>
      <c r="B14" s="14">
        <f>IF(A14="","",IFERROR(VLOOKUP(A14,'マスタ'!$A:$F,2,FALSE),""))</f>
        <v/>
      </c>
      <c r="C14" s="14">
        <f>IF(A14="","",IFERROR(VLOOKUP(A14,'マスタ'!$A:$F,3,FALSE),""))</f>
        <v/>
      </c>
      <c r="D14" s="2" t="n"/>
      <c r="E14" s="2" t="n"/>
      <c r="F14" s="2" t="n"/>
      <c r="G14" s="2" t="n"/>
      <c r="H14" s="2" t="n"/>
      <c r="I14" s="15">
        <f>IF(A14="",0,IFERROR(VLOOKUP(A14,'マスタ'!$A:$F,4,FALSE),0))</f>
        <v/>
      </c>
      <c r="J14" s="15">
        <f>IF(A14="",0,IFERROR(VLOOKUP(A14,'マスタ'!$A:$F,5,FALSE),0))</f>
        <v/>
      </c>
      <c r="K14" s="15">
        <f>IF(A14="",0,ROUND(I14/160*1.25*H14,0))</f>
        <v/>
      </c>
      <c r="L14" s="15">
        <f>IF(A14="",0,IFERROR(VLOOKUP(A14,'マスタ'!$A:$F,6,FALSE),0))</f>
        <v/>
      </c>
      <c r="M14" s="16" t="n"/>
      <c r="N14" s="17">
        <f>SUM(I14:M14)</f>
        <v/>
      </c>
      <c r="O14" s="16" t="n"/>
      <c r="P14" s="16" t="n"/>
      <c r="Q14" s="16" t="n"/>
      <c r="R14" s="16" t="n"/>
      <c r="S14" s="16" t="n"/>
      <c r="T14" s="16" t="n"/>
      <c r="U14" s="17">
        <f>SUM(O14:T14)</f>
        <v/>
      </c>
      <c r="V14" s="17">
        <f>N14-U14</f>
        <v/>
      </c>
    </row>
    <row r="15" ht="18" customHeight="1">
      <c r="A15" s="18" t="inlineStr">
        <is>
          <t>合　計</t>
        </is>
      </c>
      <c r="D15" s="19">
        <f>SUM(D5:D14)</f>
        <v/>
      </c>
      <c r="E15" s="19">
        <f>SUM(E5:E14)</f>
        <v/>
      </c>
      <c r="F15" s="19">
        <f>SUM(F5:F14)</f>
        <v/>
      </c>
      <c r="G15" s="19">
        <f>SUM(G5:G14)</f>
        <v/>
      </c>
      <c r="H15" s="19">
        <f>SUM(H5:H14)</f>
        <v/>
      </c>
      <c r="I15" s="17">
        <f>SUM(I5:I14)</f>
        <v/>
      </c>
      <c r="J15" s="17">
        <f>SUM(J5:J14)</f>
        <v/>
      </c>
      <c r="K15" s="17">
        <f>SUM(K5:K14)</f>
        <v/>
      </c>
      <c r="L15" s="17">
        <f>SUM(L5:L14)</f>
        <v/>
      </c>
      <c r="M15" s="17">
        <f>SUM(M5:M14)</f>
        <v/>
      </c>
      <c r="N15" s="17">
        <f>SUM(N5:N14)</f>
        <v/>
      </c>
      <c r="O15" s="17">
        <f>SUM(O5:O14)</f>
        <v/>
      </c>
      <c r="P15" s="17">
        <f>SUM(P5:P14)</f>
        <v/>
      </c>
      <c r="Q15" s="17">
        <f>SUM(Q5:Q14)</f>
        <v/>
      </c>
      <c r="R15" s="17">
        <f>SUM(R5:R14)</f>
        <v/>
      </c>
      <c r="S15" s="17">
        <f>SUM(S5:S14)</f>
        <v/>
      </c>
      <c r="T15" s="17">
        <f>SUM(T5:T14)</f>
        <v/>
      </c>
      <c r="U15" s="17">
        <f>SUM(U5:U14)</f>
        <v/>
      </c>
      <c r="V15" s="17">
        <f>SUM(V5:V14)</f>
        <v/>
      </c>
    </row>
  </sheetData>
  <mergeCells count="8">
    <mergeCell ref="A1:V1"/>
    <mergeCell ref="L2:V2"/>
    <mergeCell ref="A2:K2"/>
    <mergeCell ref="O3:U3"/>
    <mergeCell ref="A3:C3"/>
    <mergeCell ref="I3:N3"/>
    <mergeCell ref="A15:C15"/>
    <mergeCell ref="D3:H3"/>
  </mergeCells>
  <pageMargins left="0.5" right="0.5" top="0.75" bottom="0.75" header="0.3" footer="0.3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12" customWidth="1" min="22" max="22"/>
  </cols>
  <sheetData>
    <row r="1" ht="26" customHeight="1">
      <c r="A1" s="6" t="inlineStr">
        <is>
          <t>給与台帳　5月分</t>
        </is>
      </c>
    </row>
    <row r="2" ht="18" customHeight="1">
      <c r="A2" s="7" t="inlineStr">
        <is>
          <t>会社名：株式会社サンプル</t>
        </is>
      </c>
      <c r="L2" s="8" t="inlineStr">
        <is>
          <t>作成日：2026年5月</t>
        </is>
      </c>
    </row>
    <row r="3" ht="30" customHeight="1">
      <c r="A3" s="1" t="inlineStr">
        <is>
          <t>基本情報</t>
        </is>
      </c>
      <c r="D3" s="1" t="inlineStr">
        <is>
          <t>勤　怠　情　報</t>
        </is>
      </c>
      <c r="I3" s="9" t="inlineStr">
        <is>
          <t>支　　給　　項　　目</t>
        </is>
      </c>
      <c r="O3" s="10" t="inlineStr">
        <is>
          <t>控　　除　　項　　目</t>
        </is>
      </c>
      <c r="V3" s="11" t="inlineStr">
        <is>
          <t>差引
支給額</t>
        </is>
      </c>
    </row>
    <row r="4" ht="30" customHeight="1">
      <c r="A4" s="12" t="inlineStr">
        <is>
          <t>従業員
番号</t>
        </is>
      </c>
      <c r="B4" s="12" t="inlineStr">
        <is>
          <t>氏名</t>
        </is>
      </c>
      <c r="C4" s="12" t="inlineStr">
        <is>
          <t>所属</t>
        </is>
      </c>
      <c r="D4" s="12" t="inlineStr">
        <is>
          <t>所定
労働日数</t>
        </is>
      </c>
      <c r="E4" s="12" t="inlineStr">
        <is>
          <t>出勤
日数</t>
        </is>
      </c>
      <c r="F4" s="12" t="inlineStr">
        <is>
          <t>欠勤
日数</t>
        </is>
      </c>
      <c r="G4" s="12" t="inlineStr">
        <is>
          <t>有給
取得日数</t>
        </is>
      </c>
      <c r="H4" s="12" t="inlineStr">
        <is>
          <t>残業
時間</t>
        </is>
      </c>
      <c r="I4" s="12" t="inlineStr">
        <is>
          <t>基本給</t>
        </is>
      </c>
      <c r="J4" s="12" t="inlineStr">
        <is>
          <t>役職
手当</t>
        </is>
      </c>
      <c r="K4" s="12" t="inlineStr">
        <is>
          <t>残業
手当</t>
        </is>
      </c>
      <c r="L4" s="12" t="inlineStr">
        <is>
          <t>通勤
手当</t>
        </is>
      </c>
      <c r="M4" s="12" t="inlineStr">
        <is>
          <t>その他
手当</t>
        </is>
      </c>
      <c r="N4" s="11" t="inlineStr">
        <is>
          <t>支給
合計</t>
        </is>
      </c>
      <c r="O4" s="12" t="inlineStr">
        <is>
          <t>健康
保険</t>
        </is>
      </c>
      <c r="P4" s="12" t="inlineStr">
        <is>
          <t>厚生
年金</t>
        </is>
      </c>
      <c r="Q4" s="12" t="inlineStr">
        <is>
          <t>雇用
保険</t>
        </is>
      </c>
      <c r="R4" s="12" t="inlineStr">
        <is>
          <t>所得税</t>
        </is>
      </c>
      <c r="S4" s="12" t="inlineStr">
        <is>
          <t>住民税</t>
        </is>
      </c>
      <c r="T4" s="12" t="inlineStr">
        <is>
          <t>その他
控除</t>
        </is>
      </c>
      <c r="U4" s="11" t="inlineStr">
        <is>
          <t>控除
合計</t>
        </is>
      </c>
      <c r="V4" s="11" t="inlineStr">
        <is>
          <t>差引
支給額</t>
        </is>
      </c>
    </row>
    <row r="5" ht="18" customHeight="1">
      <c r="A5" s="13" t="inlineStr">
        <is>
          <t>001</t>
        </is>
      </c>
      <c r="B5" s="14">
        <f>IF(A5="","",IFERROR(VLOOKUP(A5,'マスタ'!$A:$F,2,FALSE),""))</f>
        <v/>
      </c>
      <c r="C5" s="14">
        <f>IF(A5="","",IFERROR(VLOOKUP(A5,'マスタ'!$A:$F,3,FALSE),""))</f>
        <v/>
      </c>
      <c r="D5" s="2" t="n">
        <v>20</v>
      </c>
      <c r="E5" s="2" t="n">
        <v>20</v>
      </c>
      <c r="F5" s="2" t="n">
        <v>0</v>
      </c>
      <c r="G5" s="2" t="n">
        <v>0</v>
      </c>
      <c r="H5" s="2" t="n">
        <v>10</v>
      </c>
      <c r="I5" s="15">
        <f>IF(A5="",0,IFERROR(VLOOKUP(A5,'マスタ'!$A:$F,4,FALSE),0))</f>
        <v/>
      </c>
      <c r="J5" s="15">
        <f>IF(A5="",0,IFERROR(VLOOKUP(A5,'マスタ'!$A:$F,5,FALSE),0))</f>
        <v/>
      </c>
      <c r="K5" s="15">
        <f>IF(A5="",0,ROUND(I5/160*1.25*H5,0))</f>
        <v/>
      </c>
      <c r="L5" s="15">
        <f>IF(A5="",0,IFERROR(VLOOKUP(A5,'マスタ'!$A:$F,6,FALSE),0))</f>
        <v/>
      </c>
      <c r="M5" s="16" t="n">
        <v>0</v>
      </c>
      <c r="N5" s="17">
        <f>SUM(I5:M5)</f>
        <v/>
      </c>
      <c r="O5" s="16" t="n">
        <v>17500</v>
      </c>
      <c r="P5" s="16" t="n">
        <v>32490</v>
      </c>
      <c r="Q5" s="16" t="n">
        <v>2100</v>
      </c>
      <c r="R5" s="16" t="n">
        <v>8500</v>
      </c>
      <c r="S5" s="16" t="n">
        <v>12000</v>
      </c>
      <c r="T5" s="16" t="n">
        <v>0</v>
      </c>
      <c r="U5" s="17">
        <f>SUM(O5:T5)</f>
        <v/>
      </c>
      <c r="V5" s="17">
        <f>N5-U5</f>
        <v/>
      </c>
    </row>
    <row r="6" ht="18" customHeight="1">
      <c r="A6" s="13" t="inlineStr">
        <is>
          <t>002</t>
        </is>
      </c>
      <c r="B6" s="14">
        <f>IF(A6="","",IFERROR(VLOOKUP(A6,'マスタ'!$A:$F,2,FALSE),""))</f>
        <v/>
      </c>
      <c r="C6" s="14">
        <f>IF(A6="","",IFERROR(VLOOKUP(A6,'マスタ'!$A:$F,3,FALSE),""))</f>
        <v/>
      </c>
      <c r="D6" s="2" t="n">
        <v>20</v>
      </c>
      <c r="E6" s="2" t="n">
        <v>19</v>
      </c>
      <c r="F6" s="2" t="n">
        <v>1</v>
      </c>
      <c r="G6" s="2" t="n">
        <v>1</v>
      </c>
      <c r="H6" s="2" t="n">
        <v>5</v>
      </c>
      <c r="I6" s="15">
        <f>IF(A6="",0,IFERROR(VLOOKUP(A6,'マスタ'!$A:$F,4,FALSE),0))</f>
        <v/>
      </c>
      <c r="J6" s="15">
        <f>IF(A6="",0,IFERROR(VLOOKUP(A6,'マスタ'!$A:$F,5,FALSE),0))</f>
        <v/>
      </c>
      <c r="K6" s="15">
        <f>IF(A6="",0,ROUND(I6/160*1.25*H6,0))</f>
        <v/>
      </c>
      <c r="L6" s="15">
        <f>IF(A6="",0,IFERROR(VLOOKUP(A6,'マスタ'!$A:$F,6,FALSE),0))</f>
        <v/>
      </c>
      <c r="M6" s="16" t="n">
        <v>0</v>
      </c>
      <c r="N6" s="17">
        <f>SUM(I6:M6)</f>
        <v/>
      </c>
      <c r="O6" s="16" t="n">
        <v>14000</v>
      </c>
      <c r="P6" s="16" t="n">
        <v>25990</v>
      </c>
      <c r="Q6" s="16" t="n">
        <v>1680</v>
      </c>
      <c r="R6" s="16" t="n">
        <v>5500</v>
      </c>
      <c r="S6" s="16" t="n">
        <v>9000</v>
      </c>
      <c r="T6" s="16" t="n">
        <v>0</v>
      </c>
      <c r="U6" s="17">
        <f>SUM(O6:T6)</f>
        <v/>
      </c>
      <c r="V6" s="17">
        <f>N6-U6</f>
        <v/>
      </c>
    </row>
    <row r="7" ht="18" customHeight="1">
      <c r="A7" s="13" t="inlineStr">
        <is>
          <t>003</t>
        </is>
      </c>
      <c r="B7" s="14">
        <f>IF(A7="","",IFERROR(VLOOKUP(A7,'マスタ'!$A:$F,2,FALSE),""))</f>
        <v/>
      </c>
      <c r="C7" s="14">
        <f>IF(A7="","",IFERROR(VLOOKUP(A7,'マスタ'!$A:$F,3,FALSE),""))</f>
        <v/>
      </c>
      <c r="D7" s="2" t="n">
        <v>20</v>
      </c>
      <c r="E7" s="2" t="n">
        <v>20</v>
      </c>
      <c r="F7" s="2" t="n">
        <v>0</v>
      </c>
      <c r="G7" s="2" t="n">
        <v>2</v>
      </c>
      <c r="H7" s="2" t="n">
        <v>15</v>
      </c>
      <c r="I7" s="15">
        <f>IF(A7="",0,IFERROR(VLOOKUP(A7,'マスタ'!$A:$F,4,FALSE),0))</f>
        <v/>
      </c>
      <c r="J7" s="15">
        <f>IF(A7="",0,IFERROR(VLOOKUP(A7,'マスタ'!$A:$F,5,FALSE),0))</f>
        <v/>
      </c>
      <c r="K7" s="15">
        <f>IF(A7="",0,ROUND(I7/160*1.25*H7,0))</f>
        <v/>
      </c>
      <c r="L7" s="15">
        <f>IF(A7="",0,IFERROR(VLOOKUP(A7,'マスタ'!$A:$F,6,FALSE),0))</f>
        <v/>
      </c>
      <c r="M7" s="16" t="n">
        <v>0</v>
      </c>
      <c r="N7" s="17">
        <f>SUM(I7:M7)</f>
        <v/>
      </c>
      <c r="O7" s="16" t="n">
        <v>16000</v>
      </c>
      <c r="P7" s="16" t="n">
        <v>29730</v>
      </c>
      <c r="Q7" s="16" t="n">
        <v>1920</v>
      </c>
      <c r="R7" s="16" t="n">
        <v>7000</v>
      </c>
      <c r="S7" s="16" t="n">
        <v>10500</v>
      </c>
      <c r="T7" s="16" t="n">
        <v>0</v>
      </c>
      <c r="U7" s="17">
        <f>SUM(O7:T7)</f>
        <v/>
      </c>
      <c r="V7" s="17">
        <f>N7-U7</f>
        <v/>
      </c>
    </row>
    <row r="8" ht="18" customHeight="1">
      <c r="A8" s="2" t="n"/>
      <c r="B8" s="14">
        <f>IF(A8="","",IFERROR(VLOOKUP(A8,'マスタ'!$A:$F,2,FALSE),""))</f>
        <v/>
      </c>
      <c r="C8" s="14">
        <f>IF(A8="","",IFERROR(VLOOKUP(A8,'マスタ'!$A:$F,3,FALSE),""))</f>
        <v/>
      </c>
      <c r="D8" s="2" t="n"/>
      <c r="E8" s="2" t="n"/>
      <c r="F8" s="2" t="n"/>
      <c r="G8" s="2" t="n"/>
      <c r="H8" s="2" t="n"/>
      <c r="I8" s="15">
        <f>IF(A8="",0,IFERROR(VLOOKUP(A8,'マスタ'!$A:$F,4,FALSE),0))</f>
        <v/>
      </c>
      <c r="J8" s="15">
        <f>IF(A8="",0,IFERROR(VLOOKUP(A8,'マスタ'!$A:$F,5,FALSE),0))</f>
        <v/>
      </c>
      <c r="K8" s="15">
        <f>IF(A8="",0,ROUND(I8/160*1.25*H8,0))</f>
        <v/>
      </c>
      <c r="L8" s="15">
        <f>IF(A8="",0,IFERROR(VLOOKUP(A8,'マスタ'!$A:$F,6,FALSE),0))</f>
        <v/>
      </c>
      <c r="M8" s="16" t="n"/>
      <c r="N8" s="17">
        <f>SUM(I8:M8)</f>
        <v/>
      </c>
      <c r="O8" s="16" t="n"/>
      <c r="P8" s="16" t="n"/>
      <c r="Q8" s="16" t="n"/>
      <c r="R8" s="16" t="n"/>
      <c r="S8" s="16" t="n"/>
      <c r="T8" s="16" t="n"/>
      <c r="U8" s="17">
        <f>SUM(O8:T8)</f>
        <v/>
      </c>
      <c r="V8" s="17">
        <f>N8-U8</f>
        <v/>
      </c>
    </row>
    <row r="9" ht="18" customHeight="1">
      <c r="A9" s="2" t="n"/>
      <c r="B9" s="14">
        <f>IF(A9="","",IFERROR(VLOOKUP(A9,'マスタ'!$A:$F,2,FALSE),""))</f>
        <v/>
      </c>
      <c r="C9" s="14">
        <f>IF(A9="","",IFERROR(VLOOKUP(A9,'マスタ'!$A:$F,3,FALSE),""))</f>
        <v/>
      </c>
      <c r="D9" s="2" t="n"/>
      <c r="E9" s="2" t="n"/>
      <c r="F9" s="2" t="n"/>
      <c r="G9" s="2" t="n"/>
      <c r="H9" s="2" t="n"/>
      <c r="I9" s="15">
        <f>IF(A9="",0,IFERROR(VLOOKUP(A9,'マスタ'!$A:$F,4,FALSE),0))</f>
        <v/>
      </c>
      <c r="J9" s="15">
        <f>IF(A9="",0,IFERROR(VLOOKUP(A9,'マスタ'!$A:$F,5,FALSE),0))</f>
        <v/>
      </c>
      <c r="K9" s="15">
        <f>IF(A9="",0,ROUND(I9/160*1.25*H9,0))</f>
        <v/>
      </c>
      <c r="L9" s="15">
        <f>IF(A9="",0,IFERROR(VLOOKUP(A9,'マスタ'!$A:$F,6,FALSE),0))</f>
        <v/>
      </c>
      <c r="M9" s="16" t="n"/>
      <c r="N9" s="17">
        <f>SUM(I9:M9)</f>
        <v/>
      </c>
      <c r="O9" s="16" t="n"/>
      <c r="P9" s="16" t="n"/>
      <c r="Q9" s="16" t="n"/>
      <c r="R9" s="16" t="n"/>
      <c r="S9" s="16" t="n"/>
      <c r="T9" s="16" t="n"/>
      <c r="U9" s="17">
        <f>SUM(O9:T9)</f>
        <v/>
      </c>
      <c r="V9" s="17">
        <f>N9-U9</f>
        <v/>
      </c>
    </row>
    <row r="10" ht="18" customHeight="1">
      <c r="A10" s="2" t="n"/>
      <c r="B10" s="14">
        <f>IF(A10="","",IFERROR(VLOOKUP(A10,'マスタ'!$A:$F,2,FALSE),""))</f>
        <v/>
      </c>
      <c r="C10" s="14">
        <f>IF(A10="","",IFERROR(VLOOKUP(A10,'マスタ'!$A:$F,3,FALSE),""))</f>
        <v/>
      </c>
      <c r="D10" s="2" t="n"/>
      <c r="E10" s="2" t="n"/>
      <c r="F10" s="2" t="n"/>
      <c r="G10" s="2" t="n"/>
      <c r="H10" s="2" t="n"/>
      <c r="I10" s="15">
        <f>IF(A10="",0,IFERROR(VLOOKUP(A10,'マスタ'!$A:$F,4,FALSE),0))</f>
        <v/>
      </c>
      <c r="J10" s="15">
        <f>IF(A10="",0,IFERROR(VLOOKUP(A10,'マスタ'!$A:$F,5,FALSE),0))</f>
        <v/>
      </c>
      <c r="K10" s="15">
        <f>IF(A10="",0,ROUND(I10/160*1.25*H10,0))</f>
        <v/>
      </c>
      <c r="L10" s="15">
        <f>IF(A10="",0,IFERROR(VLOOKUP(A10,'マスタ'!$A:$F,6,FALSE),0))</f>
        <v/>
      </c>
      <c r="M10" s="16" t="n"/>
      <c r="N10" s="17">
        <f>SUM(I10:M10)</f>
        <v/>
      </c>
      <c r="O10" s="16" t="n"/>
      <c r="P10" s="16" t="n"/>
      <c r="Q10" s="16" t="n"/>
      <c r="R10" s="16" t="n"/>
      <c r="S10" s="16" t="n"/>
      <c r="T10" s="16" t="n"/>
      <c r="U10" s="17">
        <f>SUM(O10:T10)</f>
        <v/>
      </c>
      <c r="V10" s="17">
        <f>N10-U10</f>
        <v/>
      </c>
    </row>
    <row r="11" ht="18" customHeight="1">
      <c r="A11" s="2" t="n"/>
      <c r="B11" s="14">
        <f>IF(A11="","",IFERROR(VLOOKUP(A11,'マスタ'!$A:$F,2,FALSE),""))</f>
        <v/>
      </c>
      <c r="C11" s="14">
        <f>IF(A11="","",IFERROR(VLOOKUP(A11,'マスタ'!$A:$F,3,FALSE),""))</f>
        <v/>
      </c>
      <c r="D11" s="2" t="n"/>
      <c r="E11" s="2" t="n"/>
      <c r="F11" s="2" t="n"/>
      <c r="G11" s="2" t="n"/>
      <c r="H11" s="2" t="n"/>
      <c r="I11" s="15">
        <f>IF(A11="",0,IFERROR(VLOOKUP(A11,'マスタ'!$A:$F,4,FALSE),0))</f>
        <v/>
      </c>
      <c r="J11" s="15">
        <f>IF(A11="",0,IFERROR(VLOOKUP(A11,'マスタ'!$A:$F,5,FALSE),0))</f>
        <v/>
      </c>
      <c r="K11" s="15">
        <f>IF(A11="",0,ROUND(I11/160*1.25*H11,0))</f>
        <v/>
      </c>
      <c r="L11" s="15">
        <f>IF(A11="",0,IFERROR(VLOOKUP(A11,'マスタ'!$A:$F,6,FALSE),0))</f>
        <v/>
      </c>
      <c r="M11" s="16" t="n"/>
      <c r="N11" s="17">
        <f>SUM(I11:M11)</f>
        <v/>
      </c>
      <c r="O11" s="16" t="n"/>
      <c r="P11" s="16" t="n"/>
      <c r="Q11" s="16" t="n"/>
      <c r="R11" s="16" t="n"/>
      <c r="S11" s="16" t="n"/>
      <c r="T11" s="16" t="n"/>
      <c r="U11" s="17">
        <f>SUM(O11:T11)</f>
        <v/>
      </c>
      <c r="V11" s="17">
        <f>N11-U11</f>
        <v/>
      </c>
    </row>
    <row r="12" ht="18" customHeight="1">
      <c r="A12" s="2" t="n"/>
      <c r="B12" s="14">
        <f>IF(A12="","",IFERROR(VLOOKUP(A12,'マスタ'!$A:$F,2,FALSE),""))</f>
        <v/>
      </c>
      <c r="C12" s="14">
        <f>IF(A12="","",IFERROR(VLOOKUP(A12,'マスタ'!$A:$F,3,FALSE),""))</f>
        <v/>
      </c>
      <c r="D12" s="2" t="n"/>
      <c r="E12" s="2" t="n"/>
      <c r="F12" s="2" t="n"/>
      <c r="G12" s="2" t="n"/>
      <c r="H12" s="2" t="n"/>
      <c r="I12" s="15">
        <f>IF(A12="",0,IFERROR(VLOOKUP(A12,'マスタ'!$A:$F,4,FALSE),0))</f>
        <v/>
      </c>
      <c r="J12" s="15">
        <f>IF(A12="",0,IFERROR(VLOOKUP(A12,'マスタ'!$A:$F,5,FALSE),0))</f>
        <v/>
      </c>
      <c r="K12" s="15">
        <f>IF(A12="",0,ROUND(I12/160*1.25*H12,0))</f>
        <v/>
      </c>
      <c r="L12" s="15">
        <f>IF(A12="",0,IFERROR(VLOOKUP(A12,'マスタ'!$A:$F,6,FALSE),0))</f>
        <v/>
      </c>
      <c r="M12" s="16" t="n"/>
      <c r="N12" s="17">
        <f>SUM(I12:M12)</f>
        <v/>
      </c>
      <c r="O12" s="16" t="n"/>
      <c r="P12" s="16" t="n"/>
      <c r="Q12" s="16" t="n"/>
      <c r="R12" s="16" t="n"/>
      <c r="S12" s="16" t="n"/>
      <c r="T12" s="16" t="n"/>
      <c r="U12" s="17">
        <f>SUM(O12:T12)</f>
        <v/>
      </c>
      <c r="V12" s="17">
        <f>N12-U12</f>
        <v/>
      </c>
    </row>
    <row r="13" ht="18" customHeight="1">
      <c r="A13" s="2" t="n"/>
      <c r="B13" s="14">
        <f>IF(A13="","",IFERROR(VLOOKUP(A13,'マスタ'!$A:$F,2,FALSE),""))</f>
        <v/>
      </c>
      <c r="C13" s="14">
        <f>IF(A13="","",IFERROR(VLOOKUP(A13,'マスタ'!$A:$F,3,FALSE),""))</f>
        <v/>
      </c>
      <c r="D13" s="2" t="n"/>
      <c r="E13" s="2" t="n"/>
      <c r="F13" s="2" t="n"/>
      <c r="G13" s="2" t="n"/>
      <c r="H13" s="2" t="n"/>
      <c r="I13" s="15">
        <f>IF(A13="",0,IFERROR(VLOOKUP(A13,'マスタ'!$A:$F,4,FALSE),0))</f>
        <v/>
      </c>
      <c r="J13" s="15">
        <f>IF(A13="",0,IFERROR(VLOOKUP(A13,'マスタ'!$A:$F,5,FALSE),0))</f>
        <v/>
      </c>
      <c r="K13" s="15">
        <f>IF(A13="",0,ROUND(I13/160*1.25*H13,0))</f>
        <v/>
      </c>
      <c r="L13" s="15">
        <f>IF(A13="",0,IFERROR(VLOOKUP(A13,'マスタ'!$A:$F,6,FALSE),0))</f>
        <v/>
      </c>
      <c r="M13" s="16" t="n"/>
      <c r="N13" s="17">
        <f>SUM(I13:M13)</f>
        <v/>
      </c>
      <c r="O13" s="16" t="n"/>
      <c r="P13" s="16" t="n"/>
      <c r="Q13" s="16" t="n"/>
      <c r="R13" s="16" t="n"/>
      <c r="S13" s="16" t="n"/>
      <c r="T13" s="16" t="n"/>
      <c r="U13" s="17">
        <f>SUM(O13:T13)</f>
        <v/>
      </c>
      <c r="V13" s="17">
        <f>N13-U13</f>
        <v/>
      </c>
    </row>
    <row r="14" ht="18" customHeight="1">
      <c r="A14" s="2" t="n"/>
      <c r="B14" s="14">
        <f>IF(A14="","",IFERROR(VLOOKUP(A14,'マスタ'!$A:$F,2,FALSE),""))</f>
        <v/>
      </c>
      <c r="C14" s="14">
        <f>IF(A14="","",IFERROR(VLOOKUP(A14,'マスタ'!$A:$F,3,FALSE),""))</f>
        <v/>
      </c>
      <c r="D14" s="2" t="n"/>
      <c r="E14" s="2" t="n"/>
      <c r="F14" s="2" t="n"/>
      <c r="G14" s="2" t="n"/>
      <c r="H14" s="2" t="n"/>
      <c r="I14" s="15">
        <f>IF(A14="",0,IFERROR(VLOOKUP(A14,'マスタ'!$A:$F,4,FALSE),0))</f>
        <v/>
      </c>
      <c r="J14" s="15">
        <f>IF(A14="",0,IFERROR(VLOOKUP(A14,'マスタ'!$A:$F,5,FALSE),0))</f>
        <v/>
      </c>
      <c r="K14" s="15">
        <f>IF(A14="",0,ROUND(I14/160*1.25*H14,0))</f>
        <v/>
      </c>
      <c r="L14" s="15">
        <f>IF(A14="",0,IFERROR(VLOOKUP(A14,'マスタ'!$A:$F,6,FALSE),0))</f>
        <v/>
      </c>
      <c r="M14" s="16" t="n"/>
      <c r="N14" s="17">
        <f>SUM(I14:M14)</f>
        <v/>
      </c>
      <c r="O14" s="16" t="n"/>
      <c r="P14" s="16" t="n"/>
      <c r="Q14" s="16" t="n"/>
      <c r="R14" s="16" t="n"/>
      <c r="S14" s="16" t="n"/>
      <c r="T14" s="16" t="n"/>
      <c r="U14" s="17">
        <f>SUM(O14:T14)</f>
        <v/>
      </c>
      <c r="V14" s="17">
        <f>N14-U14</f>
        <v/>
      </c>
    </row>
    <row r="15" ht="18" customHeight="1">
      <c r="A15" s="18" t="inlineStr">
        <is>
          <t>合　計</t>
        </is>
      </c>
      <c r="D15" s="19">
        <f>SUM(D5:D14)</f>
        <v/>
      </c>
      <c r="E15" s="19">
        <f>SUM(E5:E14)</f>
        <v/>
      </c>
      <c r="F15" s="19">
        <f>SUM(F5:F14)</f>
        <v/>
      </c>
      <c r="G15" s="19">
        <f>SUM(G5:G14)</f>
        <v/>
      </c>
      <c r="H15" s="19">
        <f>SUM(H5:H14)</f>
        <v/>
      </c>
      <c r="I15" s="17">
        <f>SUM(I5:I14)</f>
        <v/>
      </c>
      <c r="J15" s="17">
        <f>SUM(J5:J14)</f>
        <v/>
      </c>
      <c r="K15" s="17">
        <f>SUM(K5:K14)</f>
        <v/>
      </c>
      <c r="L15" s="17">
        <f>SUM(L5:L14)</f>
        <v/>
      </c>
      <c r="M15" s="17">
        <f>SUM(M5:M14)</f>
        <v/>
      </c>
      <c r="N15" s="17">
        <f>SUM(N5:N14)</f>
        <v/>
      </c>
      <c r="O15" s="17">
        <f>SUM(O5:O14)</f>
        <v/>
      </c>
      <c r="P15" s="17">
        <f>SUM(P5:P14)</f>
        <v/>
      </c>
      <c r="Q15" s="17">
        <f>SUM(Q5:Q14)</f>
        <v/>
      </c>
      <c r="R15" s="17">
        <f>SUM(R5:R14)</f>
        <v/>
      </c>
      <c r="S15" s="17">
        <f>SUM(S5:S14)</f>
        <v/>
      </c>
      <c r="T15" s="17">
        <f>SUM(T5:T14)</f>
        <v/>
      </c>
      <c r="U15" s="17">
        <f>SUM(U5:U14)</f>
        <v/>
      </c>
      <c r="V15" s="17">
        <f>SUM(V5:V14)</f>
        <v/>
      </c>
    </row>
  </sheetData>
  <mergeCells count="8">
    <mergeCell ref="A1:V1"/>
    <mergeCell ref="L2:V2"/>
    <mergeCell ref="A2:K2"/>
    <mergeCell ref="O3:U3"/>
    <mergeCell ref="A3:C3"/>
    <mergeCell ref="I3:N3"/>
    <mergeCell ref="A15:C15"/>
    <mergeCell ref="D3:H3"/>
  </mergeCells>
  <pageMargins left="0.5" right="0.5" top="0.75" bottom="0.75" header="0.3" footer="0.3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12" customWidth="1" min="22" max="22"/>
  </cols>
  <sheetData>
    <row r="1" ht="26" customHeight="1">
      <c r="A1" s="6" t="inlineStr">
        <is>
          <t>給与台帳　6月分</t>
        </is>
      </c>
    </row>
    <row r="2" ht="18" customHeight="1">
      <c r="A2" s="7" t="inlineStr">
        <is>
          <t>会社名：株式会社サンプル</t>
        </is>
      </c>
      <c r="L2" s="8" t="inlineStr">
        <is>
          <t>作成日：2026年6月</t>
        </is>
      </c>
    </row>
    <row r="3" ht="30" customHeight="1">
      <c r="A3" s="1" t="inlineStr">
        <is>
          <t>基本情報</t>
        </is>
      </c>
      <c r="D3" s="1" t="inlineStr">
        <is>
          <t>勤　怠　情　報</t>
        </is>
      </c>
      <c r="I3" s="9" t="inlineStr">
        <is>
          <t>支　　給　　項　　目</t>
        </is>
      </c>
      <c r="O3" s="10" t="inlineStr">
        <is>
          <t>控　　除　　項　　目</t>
        </is>
      </c>
      <c r="V3" s="11" t="inlineStr">
        <is>
          <t>差引
支給額</t>
        </is>
      </c>
    </row>
    <row r="4" ht="30" customHeight="1">
      <c r="A4" s="12" t="inlineStr">
        <is>
          <t>従業員
番号</t>
        </is>
      </c>
      <c r="B4" s="12" t="inlineStr">
        <is>
          <t>氏名</t>
        </is>
      </c>
      <c r="C4" s="12" t="inlineStr">
        <is>
          <t>所属</t>
        </is>
      </c>
      <c r="D4" s="12" t="inlineStr">
        <is>
          <t>所定
労働日数</t>
        </is>
      </c>
      <c r="E4" s="12" t="inlineStr">
        <is>
          <t>出勤
日数</t>
        </is>
      </c>
      <c r="F4" s="12" t="inlineStr">
        <is>
          <t>欠勤
日数</t>
        </is>
      </c>
      <c r="G4" s="12" t="inlineStr">
        <is>
          <t>有給
取得日数</t>
        </is>
      </c>
      <c r="H4" s="12" t="inlineStr">
        <is>
          <t>残業
時間</t>
        </is>
      </c>
      <c r="I4" s="12" t="inlineStr">
        <is>
          <t>基本給</t>
        </is>
      </c>
      <c r="J4" s="12" t="inlineStr">
        <is>
          <t>役職
手当</t>
        </is>
      </c>
      <c r="K4" s="12" t="inlineStr">
        <is>
          <t>残業
手当</t>
        </is>
      </c>
      <c r="L4" s="12" t="inlineStr">
        <is>
          <t>通勤
手当</t>
        </is>
      </c>
      <c r="M4" s="12" t="inlineStr">
        <is>
          <t>その他
手当</t>
        </is>
      </c>
      <c r="N4" s="11" t="inlineStr">
        <is>
          <t>支給
合計</t>
        </is>
      </c>
      <c r="O4" s="12" t="inlineStr">
        <is>
          <t>健康
保険</t>
        </is>
      </c>
      <c r="P4" s="12" t="inlineStr">
        <is>
          <t>厚生
年金</t>
        </is>
      </c>
      <c r="Q4" s="12" t="inlineStr">
        <is>
          <t>雇用
保険</t>
        </is>
      </c>
      <c r="R4" s="12" t="inlineStr">
        <is>
          <t>所得税</t>
        </is>
      </c>
      <c r="S4" s="12" t="inlineStr">
        <is>
          <t>住民税</t>
        </is>
      </c>
      <c r="T4" s="12" t="inlineStr">
        <is>
          <t>その他
控除</t>
        </is>
      </c>
      <c r="U4" s="11" t="inlineStr">
        <is>
          <t>控除
合計</t>
        </is>
      </c>
      <c r="V4" s="11" t="inlineStr">
        <is>
          <t>差引
支給額</t>
        </is>
      </c>
    </row>
    <row r="5" ht="18" customHeight="1">
      <c r="A5" s="13" t="inlineStr">
        <is>
          <t>001</t>
        </is>
      </c>
      <c r="B5" s="14">
        <f>IF(A5="","",IFERROR(VLOOKUP(A5,'マスタ'!$A:$F,2,FALSE),""))</f>
        <v/>
      </c>
      <c r="C5" s="14">
        <f>IF(A5="","",IFERROR(VLOOKUP(A5,'マスタ'!$A:$F,3,FALSE),""))</f>
        <v/>
      </c>
      <c r="D5" s="2" t="n">
        <v>20</v>
      </c>
      <c r="E5" s="2" t="n">
        <v>20</v>
      </c>
      <c r="F5" s="2" t="n">
        <v>0</v>
      </c>
      <c r="G5" s="2" t="n">
        <v>0</v>
      </c>
      <c r="H5" s="2" t="n">
        <v>10</v>
      </c>
      <c r="I5" s="15">
        <f>IF(A5="",0,IFERROR(VLOOKUP(A5,'マスタ'!$A:$F,4,FALSE),0))</f>
        <v/>
      </c>
      <c r="J5" s="15">
        <f>IF(A5="",0,IFERROR(VLOOKUP(A5,'マスタ'!$A:$F,5,FALSE),0))</f>
        <v/>
      </c>
      <c r="K5" s="15">
        <f>IF(A5="",0,ROUND(I5/160*1.25*H5,0))</f>
        <v/>
      </c>
      <c r="L5" s="15">
        <f>IF(A5="",0,IFERROR(VLOOKUP(A5,'マスタ'!$A:$F,6,FALSE),0))</f>
        <v/>
      </c>
      <c r="M5" s="16" t="n">
        <v>0</v>
      </c>
      <c r="N5" s="17">
        <f>SUM(I5:M5)</f>
        <v/>
      </c>
      <c r="O5" s="16" t="n">
        <v>17500</v>
      </c>
      <c r="P5" s="16" t="n">
        <v>32490</v>
      </c>
      <c r="Q5" s="16" t="n">
        <v>2100</v>
      </c>
      <c r="R5" s="16" t="n">
        <v>8500</v>
      </c>
      <c r="S5" s="16" t="n">
        <v>12000</v>
      </c>
      <c r="T5" s="16" t="n">
        <v>0</v>
      </c>
      <c r="U5" s="17">
        <f>SUM(O5:T5)</f>
        <v/>
      </c>
      <c r="V5" s="17">
        <f>N5-U5</f>
        <v/>
      </c>
    </row>
    <row r="6" ht="18" customHeight="1">
      <c r="A6" s="13" t="inlineStr">
        <is>
          <t>002</t>
        </is>
      </c>
      <c r="B6" s="14">
        <f>IF(A6="","",IFERROR(VLOOKUP(A6,'マスタ'!$A:$F,2,FALSE),""))</f>
        <v/>
      </c>
      <c r="C6" s="14">
        <f>IF(A6="","",IFERROR(VLOOKUP(A6,'マスタ'!$A:$F,3,FALSE),""))</f>
        <v/>
      </c>
      <c r="D6" s="2" t="n">
        <v>20</v>
      </c>
      <c r="E6" s="2" t="n">
        <v>19</v>
      </c>
      <c r="F6" s="2" t="n">
        <v>1</v>
      </c>
      <c r="G6" s="2" t="n">
        <v>1</v>
      </c>
      <c r="H6" s="2" t="n">
        <v>5</v>
      </c>
      <c r="I6" s="15">
        <f>IF(A6="",0,IFERROR(VLOOKUP(A6,'マスタ'!$A:$F,4,FALSE),0))</f>
        <v/>
      </c>
      <c r="J6" s="15">
        <f>IF(A6="",0,IFERROR(VLOOKUP(A6,'マスタ'!$A:$F,5,FALSE),0))</f>
        <v/>
      </c>
      <c r="K6" s="15">
        <f>IF(A6="",0,ROUND(I6/160*1.25*H6,0))</f>
        <v/>
      </c>
      <c r="L6" s="15">
        <f>IF(A6="",0,IFERROR(VLOOKUP(A6,'マスタ'!$A:$F,6,FALSE),0))</f>
        <v/>
      </c>
      <c r="M6" s="16" t="n">
        <v>0</v>
      </c>
      <c r="N6" s="17">
        <f>SUM(I6:M6)</f>
        <v/>
      </c>
      <c r="O6" s="16" t="n">
        <v>14000</v>
      </c>
      <c r="P6" s="16" t="n">
        <v>25990</v>
      </c>
      <c r="Q6" s="16" t="n">
        <v>1680</v>
      </c>
      <c r="R6" s="16" t="n">
        <v>5500</v>
      </c>
      <c r="S6" s="16" t="n">
        <v>9000</v>
      </c>
      <c r="T6" s="16" t="n">
        <v>0</v>
      </c>
      <c r="U6" s="17">
        <f>SUM(O6:T6)</f>
        <v/>
      </c>
      <c r="V6" s="17">
        <f>N6-U6</f>
        <v/>
      </c>
    </row>
    <row r="7" ht="18" customHeight="1">
      <c r="A7" s="13" t="inlineStr">
        <is>
          <t>003</t>
        </is>
      </c>
      <c r="B7" s="14">
        <f>IF(A7="","",IFERROR(VLOOKUP(A7,'マスタ'!$A:$F,2,FALSE),""))</f>
        <v/>
      </c>
      <c r="C7" s="14">
        <f>IF(A7="","",IFERROR(VLOOKUP(A7,'マスタ'!$A:$F,3,FALSE),""))</f>
        <v/>
      </c>
      <c r="D7" s="2" t="n">
        <v>20</v>
      </c>
      <c r="E7" s="2" t="n">
        <v>20</v>
      </c>
      <c r="F7" s="2" t="n">
        <v>0</v>
      </c>
      <c r="G7" s="2" t="n">
        <v>2</v>
      </c>
      <c r="H7" s="2" t="n">
        <v>15</v>
      </c>
      <c r="I7" s="15">
        <f>IF(A7="",0,IFERROR(VLOOKUP(A7,'マスタ'!$A:$F,4,FALSE),0))</f>
        <v/>
      </c>
      <c r="J7" s="15">
        <f>IF(A7="",0,IFERROR(VLOOKUP(A7,'マスタ'!$A:$F,5,FALSE),0))</f>
        <v/>
      </c>
      <c r="K7" s="15">
        <f>IF(A7="",0,ROUND(I7/160*1.25*H7,0))</f>
        <v/>
      </c>
      <c r="L7" s="15">
        <f>IF(A7="",0,IFERROR(VLOOKUP(A7,'マスタ'!$A:$F,6,FALSE),0))</f>
        <v/>
      </c>
      <c r="M7" s="16" t="n">
        <v>0</v>
      </c>
      <c r="N7" s="17">
        <f>SUM(I7:M7)</f>
        <v/>
      </c>
      <c r="O7" s="16" t="n">
        <v>16000</v>
      </c>
      <c r="P7" s="16" t="n">
        <v>29730</v>
      </c>
      <c r="Q7" s="16" t="n">
        <v>1920</v>
      </c>
      <c r="R7" s="16" t="n">
        <v>7000</v>
      </c>
      <c r="S7" s="16" t="n">
        <v>10500</v>
      </c>
      <c r="T7" s="16" t="n">
        <v>0</v>
      </c>
      <c r="U7" s="17">
        <f>SUM(O7:T7)</f>
        <v/>
      </c>
      <c r="V7" s="17">
        <f>N7-U7</f>
        <v/>
      </c>
    </row>
    <row r="8" ht="18" customHeight="1">
      <c r="A8" s="2" t="n"/>
      <c r="B8" s="14">
        <f>IF(A8="","",IFERROR(VLOOKUP(A8,'マスタ'!$A:$F,2,FALSE),""))</f>
        <v/>
      </c>
      <c r="C8" s="14">
        <f>IF(A8="","",IFERROR(VLOOKUP(A8,'マスタ'!$A:$F,3,FALSE),""))</f>
        <v/>
      </c>
      <c r="D8" s="2" t="n"/>
      <c r="E8" s="2" t="n"/>
      <c r="F8" s="2" t="n"/>
      <c r="G8" s="2" t="n"/>
      <c r="H8" s="2" t="n"/>
      <c r="I8" s="15">
        <f>IF(A8="",0,IFERROR(VLOOKUP(A8,'マスタ'!$A:$F,4,FALSE),0))</f>
        <v/>
      </c>
      <c r="J8" s="15">
        <f>IF(A8="",0,IFERROR(VLOOKUP(A8,'マスタ'!$A:$F,5,FALSE),0))</f>
        <v/>
      </c>
      <c r="K8" s="15">
        <f>IF(A8="",0,ROUND(I8/160*1.25*H8,0))</f>
        <v/>
      </c>
      <c r="L8" s="15">
        <f>IF(A8="",0,IFERROR(VLOOKUP(A8,'マスタ'!$A:$F,6,FALSE),0))</f>
        <v/>
      </c>
      <c r="M8" s="16" t="n"/>
      <c r="N8" s="17">
        <f>SUM(I8:M8)</f>
        <v/>
      </c>
      <c r="O8" s="16" t="n"/>
      <c r="P8" s="16" t="n"/>
      <c r="Q8" s="16" t="n"/>
      <c r="R8" s="16" t="n"/>
      <c r="S8" s="16" t="n"/>
      <c r="T8" s="16" t="n"/>
      <c r="U8" s="17">
        <f>SUM(O8:T8)</f>
        <v/>
      </c>
      <c r="V8" s="17">
        <f>N8-U8</f>
        <v/>
      </c>
    </row>
    <row r="9" ht="18" customHeight="1">
      <c r="A9" s="2" t="n"/>
      <c r="B9" s="14">
        <f>IF(A9="","",IFERROR(VLOOKUP(A9,'マスタ'!$A:$F,2,FALSE),""))</f>
        <v/>
      </c>
      <c r="C9" s="14">
        <f>IF(A9="","",IFERROR(VLOOKUP(A9,'マスタ'!$A:$F,3,FALSE),""))</f>
        <v/>
      </c>
      <c r="D9" s="2" t="n"/>
      <c r="E9" s="2" t="n"/>
      <c r="F9" s="2" t="n"/>
      <c r="G9" s="2" t="n"/>
      <c r="H9" s="2" t="n"/>
      <c r="I9" s="15">
        <f>IF(A9="",0,IFERROR(VLOOKUP(A9,'マスタ'!$A:$F,4,FALSE),0))</f>
        <v/>
      </c>
      <c r="J9" s="15">
        <f>IF(A9="",0,IFERROR(VLOOKUP(A9,'マスタ'!$A:$F,5,FALSE),0))</f>
        <v/>
      </c>
      <c r="K9" s="15">
        <f>IF(A9="",0,ROUND(I9/160*1.25*H9,0))</f>
        <v/>
      </c>
      <c r="L9" s="15">
        <f>IF(A9="",0,IFERROR(VLOOKUP(A9,'マスタ'!$A:$F,6,FALSE),0))</f>
        <v/>
      </c>
      <c r="M9" s="16" t="n"/>
      <c r="N9" s="17">
        <f>SUM(I9:M9)</f>
        <v/>
      </c>
      <c r="O9" s="16" t="n"/>
      <c r="P9" s="16" t="n"/>
      <c r="Q9" s="16" t="n"/>
      <c r="R9" s="16" t="n"/>
      <c r="S9" s="16" t="n"/>
      <c r="T9" s="16" t="n"/>
      <c r="U9" s="17">
        <f>SUM(O9:T9)</f>
        <v/>
      </c>
      <c r="V9" s="17">
        <f>N9-U9</f>
        <v/>
      </c>
    </row>
    <row r="10" ht="18" customHeight="1">
      <c r="A10" s="2" t="n"/>
      <c r="B10" s="14">
        <f>IF(A10="","",IFERROR(VLOOKUP(A10,'マスタ'!$A:$F,2,FALSE),""))</f>
        <v/>
      </c>
      <c r="C10" s="14">
        <f>IF(A10="","",IFERROR(VLOOKUP(A10,'マスタ'!$A:$F,3,FALSE),""))</f>
        <v/>
      </c>
      <c r="D10" s="2" t="n"/>
      <c r="E10" s="2" t="n"/>
      <c r="F10" s="2" t="n"/>
      <c r="G10" s="2" t="n"/>
      <c r="H10" s="2" t="n"/>
      <c r="I10" s="15">
        <f>IF(A10="",0,IFERROR(VLOOKUP(A10,'マスタ'!$A:$F,4,FALSE),0))</f>
        <v/>
      </c>
      <c r="J10" s="15">
        <f>IF(A10="",0,IFERROR(VLOOKUP(A10,'マスタ'!$A:$F,5,FALSE),0))</f>
        <v/>
      </c>
      <c r="K10" s="15">
        <f>IF(A10="",0,ROUND(I10/160*1.25*H10,0))</f>
        <v/>
      </c>
      <c r="L10" s="15">
        <f>IF(A10="",0,IFERROR(VLOOKUP(A10,'マスタ'!$A:$F,6,FALSE),0))</f>
        <v/>
      </c>
      <c r="M10" s="16" t="n"/>
      <c r="N10" s="17">
        <f>SUM(I10:M10)</f>
        <v/>
      </c>
      <c r="O10" s="16" t="n"/>
      <c r="P10" s="16" t="n"/>
      <c r="Q10" s="16" t="n"/>
      <c r="R10" s="16" t="n"/>
      <c r="S10" s="16" t="n"/>
      <c r="T10" s="16" t="n"/>
      <c r="U10" s="17">
        <f>SUM(O10:T10)</f>
        <v/>
      </c>
      <c r="V10" s="17">
        <f>N10-U10</f>
        <v/>
      </c>
    </row>
    <row r="11" ht="18" customHeight="1">
      <c r="A11" s="2" t="n"/>
      <c r="B11" s="14">
        <f>IF(A11="","",IFERROR(VLOOKUP(A11,'マスタ'!$A:$F,2,FALSE),""))</f>
        <v/>
      </c>
      <c r="C11" s="14">
        <f>IF(A11="","",IFERROR(VLOOKUP(A11,'マスタ'!$A:$F,3,FALSE),""))</f>
        <v/>
      </c>
      <c r="D11" s="2" t="n"/>
      <c r="E11" s="2" t="n"/>
      <c r="F11" s="2" t="n"/>
      <c r="G11" s="2" t="n"/>
      <c r="H11" s="2" t="n"/>
      <c r="I11" s="15">
        <f>IF(A11="",0,IFERROR(VLOOKUP(A11,'マスタ'!$A:$F,4,FALSE),0))</f>
        <v/>
      </c>
      <c r="J11" s="15">
        <f>IF(A11="",0,IFERROR(VLOOKUP(A11,'マスタ'!$A:$F,5,FALSE),0))</f>
        <v/>
      </c>
      <c r="K11" s="15">
        <f>IF(A11="",0,ROUND(I11/160*1.25*H11,0))</f>
        <v/>
      </c>
      <c r="L11" s="15">
        <f>IF(A11="",0,IFERROR(VLOOKUP(A11,'マスタ'!$A:$F,6,FALSE),0))</f>
        <v/>
      </c>
      <c r="M11" s="16" t="n"/>
      <c r="N11" s="17">
        <f>SUM(I11:M11)</f>
        <v/>
      </c>
      <c r="O11" s="16" t="n"/>
      <c r="P11" s="16" t="n"/>
      <c r="Q11" s="16" t="n"/>
      <c r="R11" s="16" t="n"/>
      <c r="S11" s="16" t="n"/>
      <c r="T11" s="16" t="n"/>
      <c r="U11" s="17">
        <f>SUM(O11:T11)</f>
        <v/>
      </c>
      <c r="V11" s="17">
        <f>N11-U11</f>
        <v/>
      </c>
    </row>
    <row r="12" ht="18" customHeight="1">
      <c r="A12" s="2" t="n"/>
      <c r="B12" s="14">
        <f>IF(A12="","",IFERROR(VLOOKUP(A12,'マスタ'!$A:$F,2,FALSE),""))</f>
        <v/>
      </c>
      <c r="C12" s="14">
        <f>IF(A12="","",IFERROR(VLOOKUP(A12,'マスタ'!$A:$F,3,FALSE),""))</f>
        <v/>
      </c>
      <c r="D12" s="2" t="n"/>
      <c r="E12" s="2" t="n"/>
      <c r="F12" s="2" t="n"/>
      <c r="G12" s="2" t="n"/>
      <c r="H12" s="2" t="n"/>
      <c r="I12" s="15">
        <f>IF(A12="",0,IFERROR(VLOOKUP(A12,'マスタ'!$A:$F,4,FALSE),0))</f>
        <v/>
      </c>
      <c r="J12" s="15">
        <f>IF(A12="",0,IFERROR(VLOOKUP(A12,'マスタ'!$A:$F,5,FALSE),0))</f>
        <v/>
      </c>
      <c r="K12" s="15">
        <f>IF(A12="",0,ROUND(I12/160*1.25*H12,0))</f>
        <v/>
      </c>
      <c r="L12" s="15">
        <f>IF(A12="",0,IFERROR(VLOOKUP(A12,'マスタ'!$A:$F,6,FALSE),0))</f>
        <v/>
      </c>
      <c r="M12" s="16" t="n"/>
      <c r="N12" s="17">
        <f>SUM(I12:M12)</f>
        <v/>
      </c>
      <c r="O12" s="16" t="n"/>
      <c r="P12" s="16" t="n"/>
      <c r="Q12" s="16" t="n"/>
      <c r="R12" s="16" t="n"/>
      <c r="S12" s="16" t="n"/>
      <c r="T12" s="16" t="n"/>
      <c r="U12" s="17">
        <f>SUM(O12:T12)</f>
        <v/>
      </c>
      <c r="V12" s="17">
        <f>N12-U12</f>
        <v/>
      </c>
    </row>
    <row r="13" ht="18" customHeight="1">
      <c r="A13" s="2" t="n"/>
      <c r="B13" s="14">
        <f>IF(A13="","",IFERROR(VLOOKUP(A13,'マスタ'!$A:$F,2,FALSE),""))</f>
        <v/>
      </c>
      <c r="C13" s="14">
        <f>IF(A13="","",IFERROR(VLOOKUP(A13,'マスタ'!$A:$F,3,FALSE),""))</f>
        <v/>
      </c>
      <c r="D13" s="2" t="n"/>
      <c r="E13" s="2" t="n"/>
      <c r="F13" s="2" t="n"/>
      <c r="G13" s="2" t="n"/>
      <c r="H13" s="2" t="n"/>
      <c r="I13" s="15">
        <f>IF(A13="",0,IFERROR(VLOOKUP(A13,'マスタ'!$A:$F,4,FALSE),0))</f>
        <v/>
      </c>
      <c r="J13" s="15">
        <f>IF(A13="",0,IFERROR(VLOOKUP(A13,'マスタ'!$A:$F,5,FALSE),0))</f>
        <v/>
      </c>
      <c r="K13" s="15">
        <f>IF(A13="",0,ROUND(I13/160*1.25*H13,0))</f>
        <v/>
      </c>
      <c r="L13" s="15">
        <f>IF(A13="",0,IFERROR(VLOOKUP(A13,'マスタ'!$A:$F,6,FALSE),0))</f>
        <v/>
      </c>
      <c r="M13" s="16" t="n"/>
      <c r="N13" s="17">
        <f>SUM(I13:M13)</f>
        <v/>
      </c>
      <c r="O13" s="16" t="n"/>
      <c r="P13" s="16" t="n"/>
      <c r="Q13" s="16" t="n"/>
      <c r="R13" s="16" t="n"/>
      <c r="S13" s="16" t="n"/>
      <c r="T13" s="16" t="n"/>
      <c r="U13" s="17">
        <f>SUM(O13:T13)</f>
        <v/>
      </c>
      <c r="V13" s="17">
        <f>N13-U13</f>
        <v/>
      </c>
    </row>
    <row r="14" ht="18" customHeight="1">
      <c r="A14" s="2" t="n"/>
      <c r="B14" s="14">
        <f>IF(A14="","",IFERROR(VLOOKUP(A14,'マスタ'!$A:$F,2,FALSE),""))</f>
        <v/>
      </c>
      <c r="C14" s="14">
        <f>IF(A14="","",IFERROR(VLOOKUP(A14,'マスタ'!$A:$F,3,FALSE),""))</f>
        <v/>
      </c>
      <c r="D14" s="2" t="n"/>
      <c r="E14" s="2" t="n"/>
      <c r="F14" s="2" t="n"/>
      <c r="G14" s="2" t="n"/>
      <c r="H14" s="2" t="n"/>
      <c r="I14" s="15">
        <f>IF(A14="",0,IFERROR(VLOOKUP(A14,'マスタ'!$A:$F,4,FALSE),0))</f>
        <v/>
      </c>
      <c r="J14" s="15">
        <f>IF(A14="",0,IFERROR(VLOOKUP(A14,'マスタ'!$A:$F,5,FALSE),0))</f>
        <v/>
      </c>
      <c r="K14" s="15">
        <f>IF(A14="",0,ROUND(I14/160*1.25*H14,0))</f>
        <v/>
      </c>
      <c r="L14" s="15">
        <f>IF(A14="",0,IFERROR(VLOOKUP(A14,'マスタ'!$A:$F,6,FALSE),0))</f>
        <v/>
      </c>
      <c r="M14" s="16" t="n"/>
      <c r="N14" s="17">
        <f>SUM(I14:M14)</f>
        <v/>
      </c>
      <c r="O14" s="16" t="n"/>
      <c r="P14" s="16" t="n"/>
      <c r="Q14" s="16" t="n"/>
      <c r="R14" s="16" t="n"/>
      <c r="S14" s="16" t="n"/>
      <c r="T14" s="16" t="n"/>
      <c r="U14" s="17">
        <f>SUM(O14:T14)</f>
        <v/>
      </c>
      <c r="V14" s="17">
        <f>N14-U14</f>
        <v/>
      </c>
    </row>
    <row r="15" ht="18" customHeight="1">
      <c r="A15" s="18" t="inlineStr">
        <is>
          <t>合　計</t>
        </is>
      </c>
      <c r="D15" s="19">
        <f>SUM(D5:D14)</f>
        <v/>
      </c>
      <c r="E15" s="19">
        <f>SUM(E5:E14)</f>
        <v/>
      </c>
      <c r="F15" s="19">
        <f>SUM(F5:F14)</f>
        <v/>
      </c>
      <c r="G15" s="19">
        <f>SUM(G5:G14)</f>
        <v/>
      </c>
      <c r="H15" s="19">
        <f>SUM(H5:H14)</f>
        <v/>
      </c>
      <c r="I15" s="17">
        <f>SUM(I5:I14)</f>
        <v/>
      </c>
      <c r="J15" s="17">
        <f>SUM(J5:J14)</f>
        <v/>
      </c>
      <c r="K15" s="17">
        <f>SUM(K5:K14)</f>
        <v/>
      </c>
      <c r="L15" s="17">
        <f>SUM(L5:L14)</f>
        <v/>
      </c>
      <c r="M15" s="17">
        <f>SUM(M5:M14)</f>
        <v/>
      </c>
      <c r="N15" s="17">
        <f>SUM(N5:N14)</f>
        <v/>
      </c>
      <c r="O15" s="17">
        <f>SUM(O5:O14)</f>
        <v/>
      </c>
      <c r="P15" s="17">
        <f>SUM(P5:P14)</f>
        <v/>
      </c>
      <c r="Q15" s="17">
        <f>SUM(Q5:Q14)</f>
        <v/>
      </c>
      <c r="R15" s="17">
        <f>SUM(R5:R14)</f>
        <v/>
      </c>
      <c r="S15" s="17">
        <f>SUM(S5:S14)</f>
        <v/>
      </c>
      <c r="T15" s="17">
        <f>SUM(T5:T14)</f>
        <v/>
      </c>
      <c r="U15" s="17">
        <f>SUM(U5:U14)</f>
        <v/>
      </c>
      <c r="V15" s="17">
        <f>SUM(V5:V14)</f>
        <v/>
      </c>
    </row>
  </sheetData>
  <mergeCells count="8">
    <mergeCell ref="A1:V1"/>
    <mergeCell ref="L2:V2"/>
    <mergeCell ref="A2:K2"/>
    <mergeCell ref="O3:U3"/>
    <mergeCell ref="A3:C3"/>
    <mergeCell ref="I3:N3"/>
    <mergeCell ref="A15:C15"/>
    <mergeCell ref="D3:H3"/>
  </mergeCells>
  <pageMargins left="0.5" right="0.5" top="0.75" bottom="0.75" header="0.3" footer="0.3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12" customWidth="1" min="22" max="22"/>
  </cols>
  <sheetData>
    <row r="1" ht="26" customHeight="1">
      <c r="A1" s="6" t="inlineStr">
        <is>
          <t>給与台帳　7月分</t>
        </is>
      </c>
    </row>
    <row r="2" ht="18" customHeight="1">
      <c r="A2" s="7" t="inlineStr">
        <is>
          <t>会社名：株式会社サンプル</t>
        </is>
      </c>
      <c r="L2" s="8" t="inlineStr">
        <is>
          <t>作成日：2026年7月</t>
        </is>
      </c>
    </row>
    <row r="3" ht="30" customHeight="1">
      <c r="A3" s="1" t="inlineStr">
        <is>
          <t>基本情報</t>
        </is>
      </c>
      <c r="D3" s="1" t="inlineStr">
        <is>
          <t>勤　怠　情　報</t>
        </is>
      </c>
      <c r="I3" s="9" t="inlineStr">
        <is>
          <t>支　　給　　項　　目</t>
        </is>
      </c>
      <c r="O3" s="10" t="inlineStr">
        <is>
          <t>控　　除　　項　　目</t>
        </is>
      </c>
      <c r="V3" s="11" t="inlineStr">
        <is>
          <t>差引
支給額</t>
        </is>
      </c>
    </row>
    <row r="4" ht="30" customHeight="1">
      <c r="A4" s="12" t="inlineStr">
        <is>
          <t>従業員
番号</t>
        </is>
      </c>
      <c r="B4" s="12" t="inlineStr">
        <is>
          <t>氏名</t>
        </is>
      </c>
      <c r="C4" s="12" t="inlineStr">
        <is>
          <t>所属</t>
        </is>
      </c>
      <c r="D4" s="12" t="inlineStr">
        <is>
          <t>所定
労働日数</t>
        </is>
      </c>
      <c r="E4" s="12" t="inlineStr">
        <is>
          <t>出勤
日数</t>
        </is>
      </c>
      <c r="F4" s="12" t="inlineStr">
        <is>
          <t>欠勤
日数</t>
        </is>
      </c>
      <c r="G4" s="12" t="inlineStr">
        <is>
          <t>有給
取得日数</t>
        </is>
      </c>
      <c r="H4" s="12" t="inlineStr">
        <is>
          <t>残業
時間</t>
        </is>
      </c>
      <c r="I4" s="12" t="inlineStr">
        <is>
          <t>基本給</t>
        </is>
      </c>
      <c r="J4" s="12" t="inlineStr">
        <is>
          <t>役職
手当</t>
        </is>
      </c>
      <c r="K4" s="12" t="inlineStr">
        <is>
          <t>残業
手当</t>
        </is>
      </c>
      <c r="L4" s="12" t="inlineStr">
        <is>
          <t>通勤
手当</t>
        </is>
      </c>
      <c r="M4" s="12" t="inlineStr">
        <is>
          <t>その他
手当</t>
        </is>
      </c>
      <c r="N4" s="11" t="inlineStr">
        <is>
          <t>支給
合計</t>
        </is>
      </c>
      <c r="O4" s="12" t="inlineStr">
        <is>
          <t>健康
保険</t>
        </is>
      </c>
      <c r="P4" s="12" t="inlineStr">
        <is>
          <t>厚生
年金</t>
        </is>
      </c>
      <c r="Q4" s="12" t="inlineStr">
        <is>
          <t>雇用
保険</t>
        </is>
      </c>
      <c r="R4" s="12" t="inlineStr">
        <is>
          <t>所得税</t>
        </is>
      </c>
      <c r="S4" s="12" t="inlineStr">
        <is>
          <t>住民税</t>
        </is>
      </c>
      <c r="T4" s="12" t="inlineStr">
        <is>
          <t>その他
控除</t>
        </is>
      </c>
      <c r="U4" s="11" t="inlineStr">
        <is>
          <t>控除
合計</t>
        </is>
      </c>
      <c r="V4" s="11" t="inlineStr">
        <is>
          <t>差引
支給額</t>
        </is>
      </c>
    </row>
    <row r="5" ht="18" customHeight="1">
      <c r="A5" s="13" t="inlineStr">
        <is>
          <t>001</t>
        </is>
      </c>
      <c r="B5" s="14">
        <f>IF(A5="","",IFERROR(VLOOKUP(A5,'マスタ'!$A:$F,2,FALSE),""))</f>
        <v/>
      </c>
      <c r="C5" s="14">
        <f>IF(A5="","",IFERROR(VLOOKUP(A5,'マスタ'!$A:$F,3,FALSE),""))</f>
        <v/>
      </c>
      <c r="D5" s="2" t="n">
        <v>20</v>
      </c>
      <c r="E5" s="2" t="n">
        <v>20</v>
      </c>
      <c r="F5" s="2" t="n">
        <v>0</v>
      </c>
      <c r="G5" s="2" t="n">
        <v>0</v>
      </c>
      <c r="H5" s="2" t="n">
        <v>10</v>
      </c>
      <c r="I5" s="15">
        <f>IF(A5="",0,IFERROR(VLOOKUP(A5,'マスタ'!$A:$F,4,FALSE),0))</f>
        <v/>
      </c>
      <c r="J5" s="15">
        <f>IF(A5="",0,IFERROR(VLOOKUP(A5,'マスタ'!$A:$F,5,FALSE),0))</f>
        <v/>
      </c>
      <c r="K5" s="15">
        <f>IF(A5="",0,ROUND(I5/160*1.25*H5,0))</f>
        <v/>
      </c>
      <c r="L5" s="15">
        <f>IF(A5="",0,IFERROR(VLOOKUP(A5,'マスタ'!$A:$F,6,FALSE),0))</f>
        <v/>
      </c>
      <c r="M5" s="16" t="n">
        <v>0</v>
      </c>
      <c r="N5" s="17">
        <f>SUM(I5:M5)</f>
        <v/>
      </c>
      <c r="O5" s="16" t="n">
        <v>17500</v>
      </c>
      <c r="P5" s="16" t="n">
        <v>32490</v>
      </c>
      <c r="Q5" s="16" t="n">
        <v>2100</v>
      </c>
      <c r="R5" s="16" t="n">
        <v>8500</v>
      </c>
      <c r="S5" s="16" t="n">
        <v>12000</v>
      </c>
      <c r="T5" s="16" t="n">
        <v>0</v>
      </c>
      <c r="U5" s="17">
        <f>SUM(O5:T5)</f>
        <v/>
      </c>
      <c r="V5" s="17">
        <f>N5-U5</f>
        <v/>
      </c>
    </row>
    <row r="6" ht="18" customHeight="1">
      <c r="A6" s="13" t="inlineStr">
        <is>
          <t>002</t>
        </is>
      </c>
      <c r="B6" s="14">
        <f>IF(A6="","",IFERROR(VLOOKUP(A6,'マスタ'!$A:$F,2,FALSE),""))</f>
        <v/>
      </c>
      <c r="C6" s="14">
        <f>IF(A6="","",IFERROR(VLOOKUP(A6,'マスタ'!$A:$F,3,FALSE),""))</f>
        <v/>
      </c>
      <c r="D6" s="2" t="n">
        <v>20</v>
      </c>
      <c r="E6" s="2" t="n">
        <v>19</v>
      </c>
      <c r="F6" s="2" t="n">
        <v>1</v>
      </c>
      <c r="G6" s="2" t="n">
        <v>1</v>
      </c>
      <c r="H6" s="2" t="n">
        <v>5</v>
      </c>
      <c r="I6" s="15">
        <f>IF(A6="",0,IFERROR(VLOOKUP(A6,'マスタ'!$A:$F,4,FALSE),0))</f>
        <v/>
      </c>
      <c r="J6" s="15">
        <f>IF(A6="",0,IFERROR(VLOOKUP(A6,'マスタ'!$A:$F,5,FALSE),0))</f>
        <v/>
      </c>
      <c r="K6" s="15">
        <f>IF(A6="",0,ROUND(I6/160*1.25*H6,0))</f>
        <v/>
      </c>
      <c r="L6" s="15">
        <f>IF(A6="",0,IFERROR(VLOOKUP(A6,'マスタ'!$A:$F,6,FALSE),0))</f>
        <v/>
      </c>
      <c r="M6" s="16" t="n">
        <v>0</v>
      </c>
      <c r="N6" s="17">
        <f>SUM(I6:M6)</f>
        <v/>
      </c>
      <c r="O6" s="16" t="n">
        <v>14000</v>
      </c>
      <c r="P6" s="16" t="n">
        <v>25990</v>
      </c>
      <c r="Q6" s="16" t="n">
        <v>1680</v>
      </c>
      <c r="R6" s="16" t="n">
        <v>5500</v>
      </c>
      <c r="S6" s="16" t="n">
        <v>9000</v>
      </c>
      <c r="T6" s="16" t="n">
        <v>0</v>
      </c>
      <c r="U6" s="17">
        <f>SUM(O6:T6)</f>
        <v/>
      </c>
      <c r="V6" s="17">
        <f>N6-U6</f>
        <v/>
      </c>
    </row>
    <row r="7" ht="18" customHeight="1">
      <c r="A7" s="13" t="inlineStr">
        <is>
          <t>003</t>
        </is>
      </c>
      <c r="B7" s="14">
        <f>IF(A7="","",IFERROR(VLOOKUP(A7,'マスタ'!$A:$F,2,FALSE),""))</f>
        <v/>
      </c>
      <c r="C7" s="14">
        <f>IF(A7="","",IFERROR(VLOOKUP(A7,'マスタ'!$A:$F,3,FALSE),""))</f>
        <v/>
      </c>
      <c r="D7" s="2" t="n">
        <v>20</v>
      </c>
      <c r="E7" s="2" t="n">
        <v>20</v>
      </c>
      <c r="F7" s="2" t="n">
        <v>0</v>
      </c>
      <c r="G7" s="2" t="n">
        <v>2</v>
      </c>
      <c r="H7" s="2" t="n">
        <v>15</v>
      </c>
      <c r="I7" s="15">
        <f>IF(A7="",0,IFERROR(VLOOKUP(A7,'マスタ'!$A:$F,4,FALSE),0))</f>
        <v/>
      </c>
      <c r="J7" s="15">
        <f>IF(A7="",0,IFERROR(VLOOKUP(A7,'マスタ'!$A:$F,5,FALSE),0))</f>
        <v/>
      </c>
      <c r="K7" s="15">
        <f>IF(A7="",0,ROUND(I7/160*1.25*H7,0))</f>
        <v/>
      </c>
      <c r="L7" s="15">
        <f>IF(A7="",0,IFERROR(VLOOKUP(A7,'マスタ'!$A:$F,6,FALSE),0))</f>
        <v/>
      </c>
      <c r="M7" s="16" t="n">
        <v>0</v>
      </c>
      <c r="N7" s="17">
        <f>SUM(I7:M7)</f>
        <v/>
      </c>
      <c r="O7" s="16" t="n">
        <v>16000</v>
      </c>
      <c r="P7" s="16" t="n">
        <v>29730</v>
      </c>
      <c r="Q7" s="16" t="n">
        <v>1920</v>
      </c>
      <c r="R7" s="16" t="n">
        <v>7000</v>
      </c>
      <c r="S7" s="16" t="n">
        <v>10500</v>
      </c>
      <c r="T7" s="16" t="n">
        <v>0</v>
      </c>
      <c r="U7" s="17">
        <f>SUM(O7:T7)</f>
        <v/>
      </c>
      <c r="V7" s="17">
        <f>N7-U7</f>
        <v/>
      </c>
    </row>
    <row r="8" ht="18" customHeight="1">
      <c r="A8" s="2" t="n"/>
      <c r="B8" s="14">
        <f>IF(A8="","",IFERROR(VLOOKUP(A8,'マスタ'!$A:$F,2,FALSE),""))</f>
        <v/>
      </c>
      <c r="C8" s="14">
        <f>IF(A8="","",IFERROR(VLOOKUP(A8,'マスタ'!$A:$F,3,FALSE),""))</f>
        <v/>
      </c>
      <c r="D8" s="2" t="n"/>
      <c r="E8" s="2" t="n"/>
      <c r="F8" s="2" t="n"/>
      <c r="G8" s="2" t="n"/>
      <c r="H8" s="2" t="n"/>
      <c r="I8" s="15">
        <f>IF(A8="",0,IFERROR(VLOOKUP(A8,'マスタ'!$A:$F,4,FALSE),0))</f>
        <v/>
      </c>
      <c r="J8" s="15">
        <f>IF(A8="",0,IFERROR(VLOOKUP(A8,'マスタ'!$A:$F,5,FALSE),0))</f>
        <v/>
      </c>
      <c r="K8" s="15">
        <f>IF(A8="",0,ROUND(I8/160*1.25*H8,0))</f>
        <v/>
      </c>
      <c r="L8" s="15">
        <f>IF(A8="",0,IFERROR(VLOOKUP(A8,'マスタ'!$A:$F,6,FALSE),0))</f>
        <v/>
      </c>
      <c r="M8" s="16" t="n"/>
      <c r="N8" s="17">
        <f>SUM(I8:M8)</f>
        <v/>
      </c>
      <c r="O8" s="16" t="n"/>
      <c r="P8" s="16" t="n"/>
      <c r="Q8" s="16" t="n"/>
      <c r="R8" s="16" t="n"/>
      <c r="S8" s="16" t="n"/>
      <c r="T8" s="16" t="n"/>
      <c r="U8" s="17">
        <f>SUM(O8:T8)</f>
        <v/>
      </c>
      <c r="V8" s="17">
        <f>N8-U8</f>
        <v/>
      </c>
    </row>
    <row r="9" ht="18" customHeight="1">
      <c r="A9" s="2" t="n"/>
      <c r="B9" s="14">
        <f>IF(A9="","",IFERROR(VLOOKUP(A9,'マスタ'!$A:$F,2,FALSE),""))</f>
        <v/>
      </c>
      <c r="C9" s="14">
        <f>IF(A9="","",IFERROR(VLOOKUP(A9,'マスタ'!$A:$F,3,FALSE),""))</f>
        <v/>
      </c>
      <c r="D9" s="2" t="n"/>
      <c r="E9" s="2" t="n"/>
      <c r="F9" s="2" t="n"/>
      <c r="G9" s="2" t="n"/>
      <c r="H9" s="2" t="n"/>
      <c r="I9" s="15">
        <f>IF(A9="",0,IFERROR(VLOOKUP(A9,'マスタ'!$A:$F,4,FALSE),0))</f>
        <v/>
      </c>
      <c r="J9" s="15">
        <f>IF(A9="",0,IFERROR(VLOOKUP(A9,'マスタ'!$A:$F,5,FALSE),0))</f>
        <v/>
      </c>
      <c r="K9" s="15">
        <f>IF(A9="",0,ROUND(I9/160*1.25*H9,0))</f>
        <v/>
      </c>
      <c r="L9" s="15">
        <f>IF(A9="",0,IFERROR(VLOOKUP(A9,'マスタ'!$A:$F,6,FALSE),0))</f>
        <v/>
      </c>
      <c r="M9" s="16" t="n"/>
      <c r="N9" s="17">
        <f>SUM(I9:M9)</f>
        <v/>
      </c>
      <c r="O9" s="16" t="n"/>
      <c r="P9" s="16" t="n"/>
      <c r="Q9" s="16" t="n"/>
      <c r="R9" s="16" t="n"/>
      <c r="S9" s="16" t="n"/>
      <c r="T9" s="16" t="n"/>
      <c r="U9" s="17">
        <f>SUM(O9:T9)</f>
        <v/>
      </c>
      <c r="V9" s="17">
        <f>N9-U9</f>
        <v/>
      </c>
    </row>
    <row r="10" ht="18" customHeight="1">
      <c r="A10" s="2" t="n"/>
      <c r="B10" s="14">
        <f>IF(A10="","",IFERROR(VLOOKUP(A10,'マスタ'!$A:$F,2,FALSE),""))</f>
        <v/>
      </c>
      <c r="C10" s="14">
        <f>IF(A10="","",IFERROR(VLOOKUP(A10,'マスタ'!$A:$F,3,FALSE),""))</f>
        <v/>
      </c>
      <c r="D10" s="2" t="n"/>
      <c r="E10" s="2" t="n"/>
      <c r="F10" s="2" t="n"/>
      <c r="G10" s="2" t="n"/>
      <c r="H10" s="2" t="n"/>
      <c r="I10" s="15">
        <f>IF(A10="",0,IFERROR(VLOOKUP(A10,'マスタ'!$A:$F,4,FALSE),0))</f>
        <v/>
      </c>
      <c r="J10" s="15">
        <f>IF(A10="",0,IFERROR(VLOOKUP(A10,'マスタ'!$A:$F,5,FALSE),0))</f>
        <v/>
      </c>
      <c r="K10" s="15">
        <f>IF(A10="",0,ROUND(I10/160*1.25*H10,0))</f>
        <v/>
      </c>
      <c r="L10" s="15">
        <f>IF(A10="",0,IFERROR(VLOOKUP(A10,'マスタ'!$A:$F,6,FALSE),0))</f>
        <v/>
      </c>
      <c r="M10" s="16" t="n"/>
      <c r="N10" s="17">
        <f>SUM(I10:M10)</f>
        <v/>
      </c>
      <c r="O10" s="16" t="n"/>
      <c r="P10" s="16" t="n"/>
      <c r="Q10" s="16" t="n"/>
      <c r="R10" s="16" t="n"/>
      <c r="S10" s="16" t="n"/>
      <c r="T10" s="16" t="n"/>
      <c r="U10" s="17">
        <f>SUM(O10:T10)</f>
        <v/>
      </c>
      <c r="V10" s="17">
        <f>N10-U10</f>
        <v/>
      </c>
    </row>
    <row r="11" ht="18" customHeight="1">
      <c r="A11" s="2" t="n"/>
      <c r="B11" s="14">
        <f>IF(A11="","",IFERROR(VLOOKUP(A11,'マスタ'!$A:$F,2,FALSE),""))</f>
        <v/>
      </c>
      <c r="C11" s="14">
        <f>IF(A11="","",IFERROR(VLOOKUP(A11,'マスタ'!$A:$F,3,FALSE),""))</f>
        <v/>
      </c>
      <c r="D11" s="2" t="n"/>
      <c r="E11" s="2" t="n"/>
      <c r="F11" s="2" t="n"/>
      <c r="G11" s="2" t="n"/>
      <c r="H11" s="2" t="n"/>
      <c r="I11" s="15">
        <f>IF(A11="",0,IFERROR(VLOOKUP(A11,'マスタ'!$A:$F,4,FALSE),0))</f>
        <v/>
      </c>
      <c r="J11" s="15">
        <f>IF(A11="",0,IFERROR(VLOOKUP(A11,'マスタ'!$A:$F,5,FALSE),0))</f>
        <v/>
      </c>
      <c r="K11" s="15">
        <f>IF(A11="",0,ROUND(I11/160*1.25*H11,0))</f>
        <v/>
      </c>
      <c r="L11" s="15">
        <f>IF(A11="",0,IFERROR(VLOOKUP(A11,'マスタ'!$A:$F,6,FALSE),0))</f>
        <v/>
      </c>
      <c r="M11" s="16" t="n"/>
      <c r="N11" s="17">
        <f>SUM(I11:M11)</f>
        <v/>
      </c>
      <c r="O11" s="16" t="n"/>
      <c r="P11" s="16" t="n"/>
      <c r="Q11" s="16" t="n"/>
      <c r="R11" s="16" t="n"/>
      <c r="S11" s="16" t="n"/>
      <c r="T11" s="16" t="n"/>
      <c r="U11" s="17">
        <f>SUM(O11:T11)</f>
        <v/>
      </c>
      <c r="V11" s="17">
        <f>N11-U11</f>
        <v/>
      </c>
    </row>
    <row r="12" ht="18" customHeight="1">
      <c r="A12" s="2" t="n"/>
      <c r="B12" s="14">
        <f>IF(A12="","",IFERROR(VLOOKUP(A12,'マスタ'!$A:$F,2,FALSE),""))</f>
        <v/>
      </c>
      <c r="C12" s="14">
        <f>IF(A12="","",IFERROR(VLOOKUP(A12,'マスタ'!$A:$F,3,FALSE),""))</f>
        <v/>
      </c>
      <c r="D12" s="2" t="n"/>
      <c r="E12" s="2" t="n"/>
      <c r="F12" s="2" t="n"/>
      <c r="G12" s="2" t="n"/>
      <c r="H12" s="2" t="n"/>
      <c r="I12" s="15">
        <f>IF(A12="",0,IFERROR(VLOOKUP(A12,'マスタ'!$A:$F,4,FALSE),0))</f>
        <v/>
      </c>
      <c r="J12" s="15">
        <f>IF(A12="",0,IFERROR(VLOOKUP(A12,'マスタ'!$A:$F,5,FALSE),0))</f>
        <v/>
      </c>
      <c r="K12" s="15">
        <f>IF(A12="",0,ROUND(I12/160*1.25*H12,0))</f>
        <v/>
      </c>
      <c r="L12" s="15">
        <f>IF(A12="",0,IFERROR(VLOOKUP(A12,'マスタ'!$A:$F,6,FALSE),0))</f>
        <v/>
      </c>
      <c r="M12" s="16" t="n"/>
      <c r="N12" s="17">
        <f>SUM(I12:M12)</f>
        <v/>
      </c>
      <c r="O12" s="16" t="n"/>
      <c r="P12" s="16" t="n"/>
      <c r="Q12" s="16" t="n"/>
      <c r="R12" s="16" t="n"/>
      <c r="S12" s="16" t="n"/>
      <c r="T12" s="16" t="n"/>
      <c r="U12" s="17">
        <f>SUM(O12:T12)</f>
        <v/>
      </c>
      <c r="V12" s="17">
        <f>N12-U12</f>
        <v/>
      </c>
    </row>
    <row r="13" ht="18" customHeight="1">
      <c r="A13" s="2" t="n"/>
      <c r="B13" s="14">
        <f>IF(A13="","",IFERROR(VLOOKUP(A13,'マスタ'!$A:$F,2,FALSE),""))</f>
        <v/>
      </c>
      <c r="C13" s="14">
        <f>IF(A13="","",IFERROR(VLOOKUP(A13,'マスタ'!$A:$F,3,FALSE),""))</f>
        <v/>
      </c>
      <c r="D13" s="2" t="n"/>
      <c r="E13" s="2" t="n"/>
      <c r="F13" s="2" t="n"/>
      <c r="G13" s="2" t="n"/>
      <c r="H13" s="2" t="n"/>
      <c r="I13" s="15">
        <f>IF(A13="",0,IFERROR(VLOOKUP(A13,'マスタ'!$A:$F,4,FALSE),0))</f>
        <v/>
      </c>
      <c r="J13" s="15">
        <f>IF(A13="",0,IFERROR(VLOOKUP(A13,'マスタ'!$A:$F,5,FALSE),0))</f>
        <v/>
      </c>
      <c r="K13" s="15">
        <f>IF(A13="",0,ROUND(I13/160*1.25*H13,0))</f>
        <v/>
      </c>
      <c r="L13" s="15">
        <f>IF(A13="",0,IFERROR(VLOOKUP(A13,'マスタ'!$A:$F,6,FALSE),0))</f>
        <v/>
      </c>
      <c r="M13" s="16" t="n"/>
      <c r="N13" s="17">
        <f>SUM(I13:M13)</f>
        <v/>
      </c>
      <c r="O13" s="16" t="n"/>
      <c r="P13" s="16" t="n"/>
      <c r="Q13" s="16" t="n"/>
      <c r="R13" s="16" t="n"/>
      <c r="S13" s="16" t="n"/>
      <c r="T13" s="16" t="n"/>
      <c r="U13" s="17">
        <f>SUM(O13:T13)</f>
        <v/>
      </c>
      <c r="V13" s="17">
        <f>N13-U13</f>
        <v/>
      </c>
    </row>
    <row r="14" ht="18" customHeight="1">
      <c r="A14" s="2" t="n"/>
      <c r="B14" s="14">
        <f>IF(A14="","",IFERROR(VLOOKUP(A14,'マスタ'!$A:$F,2,FALSE),""))</f>
        <v/>
      </c>
      <c r="C14" s="14">
        <f>IF(A14="","",IFERROR(VLOOKUP(A14,'マスタ'!$A:$F,3,FALSE),""))</f>
        <v/>
      </c>
      <c r="D14" s="2" t="n"/>
      <c r="E14" s="2" t="n"/>
      <c r="F14" s="2" t="n"/>
      <c r="G14" s="2" t="n"/>
      <c r="H14" s="2" t="n"/>
      <c r="I14" s="15">
        <f>IF(A14="",0,IFERROR(VLOOKUP(A14,'マスタ'!$A:$F,4,FALSE),0))</f>
        <v/>
      </c>
      <c r="J14" s="15">
        <f>IF(A14="",0,IFERROR(VLOOKUP(A14,'マスタ'!$A:$F,5,FALSE),0))</f>
        <v/>
      </c>
      <c r="K14" s="15">
        <f>IF(A14="",0,ROUND(I14/160*1.25*H14,0))</f>
        <v/>
      </c>
      <c r="L14" s="15">
        <f>IF(A14="",0,IFERROR(VLOOKUP(A14,'マスタ'!$A:$F,6,FALSE),0))</f>
        <v/>
      </c>
      <c r="M14" s="16" t="n"/>
      <c r="N14" s="17">
        <f>SUM(I14:M14)</f>
        <v/>
      </c>
      <c r="O14" s="16" t="n"/>
      <c r="P14" s="16" t="n"/>
      <c r="Q14" s="16" t="n"/>
      <c r="R14" s="16" t="n"/>
      <c r="S14" s="16" t="n"/>
      <c r="T14" s="16" t="n"/>
      <c r="U14" s="17">
        <f>SUM(O14:T14)</f>
        <v/>
      </c>
      <c r="V14" s="17">
        <f>N14-U14</f>
        <v/>
      </c>
    </row>
    <row r="15" ht="18" customHeight="1">
      <c r="A15" s="18" t="inlineStr">
        <is>
          <t>合　計</t>
        </is>
      </c>
      <c r="D15" s="19">
        <f>SUM(D5:D14)</f>
        <v/>
      </c>
      <c r="E15" s="19">
        <f>SUM(E5:E14)</f>
        <v/>
      </c>
      <c r="F15" s="19">
        <f>SUM(F5:F14)</f>
        <v/>
      </c>
      <c r="G15" s="19">
        <f>SUM(G5:G14)</f>
        <v/>
      </c>
      <c r="H15" s="19">
        <f>SUM(H5:H14)</f>
        <v/>
      </c>
      <c r="I15" s="17">
        <f>SUM(I5:I14)</f>
        <v/>
      </c>
      <c r="J15" s="17">
        <f>SUM(J5:J14)</f>
        <v/>
      </c>
      <c r="K15" s="17">
        <f>SUM(K5:K14)</f>
        <v/>
      </c>
      <c r="L15" s="17">
        <f>SUM(L5:L14)</f>
        <v/>
      </c>
      <c r="M15" s="17">
        <f>SUM(M5:M14)</f>
        <v/>
      </c>
      <c r="N15" s="17">
        <f>SUM(N5:N14)</f>
        <v/>
      </c>
      <c r="O15" s="17">
        <f>SUM(O5:O14)</f>
        <v/>
      </c>
      <c r="P15" s="17">
        <f>SUM(P5:P14)</f>
        <v/>
      </c>
      <c r="Q15" s="17">
        <f>SUM(Q5:Q14)</f>
        <v/>
      </c>
      <c r="R15" s="17">
        <f>SUM(R5:R14)</f>
        <v/>
      </c>
      <c r="S15" s="17">
        <f>SUM(S5:S14)</f>
        <v/>
      </c>
      <c r="T15" s="17">
        <f>SUM(T5:T14)</f>
        <v/>
      </c>
      <c r="U15" s="17">
        <f>SUM(U5:U14)</f>
        <v/>
      </c>
      <c r="V15" s="17">
        <f>SUM(V5:V14)</f>
        <v/>
      </c>
    </row>
  </sheetData>
  <mergeCells count="8">
    <mergeCell ref="A1:V1"/>
    <mergeCell ref="L2:V2"/>
    <mergeCell ref="A2:K2"/>
    <mergeCell ref="O3:U3"/>
    <mergeCell ref="A3:C3"/>
    <mergeCell ref="I3:N3"/>
    <mergeCell ref="A15:C15"/>
    <mergeCell ref="D3:H3"/>
  </mergeCells>
  <pageMargins left="0.5" right="0.5" top="0.75" bottom="0.75" header="0.3" footer="0.3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12" customWidth="1" min="22" max="22"/>
  </cols>
  <sheetData>
    <row r="1" ht="26" customHeight="1">
      <c r="A1" s="6" t="inlineStr">
        <is>
          <t>給与台帳　8月分</t>
        </is>
      </c>
    </row>
    <row r="2" ht="18" customHeight="1">
      <c r="A2" s="7" t="inlineStr">
        <is>
          <t>会社名：株式会社サンプル</t>
        </is>
      </c>
      <c r="L2" s="8" t="inlineStr">
        <is>
          <t>作成日：2026年8月</t>
        </is>
      </c>
    </row>
    <row r="3" ht="30" customHeight="1">
      <c r="A3" s="1" t="inlineStr">
        <is>
          <t>基本情報</t>
        </is>
      </c>
      <c r="D3" s="1" t="inlineStr">
        <is>
          <t>勤　怠　情　報</t>
        </is>
      </c>
      <c r="I3" s="9" t="inlineStr">
        <is>
          <t>支　　給　　項　　目</t>
        </is>
      </c>
      <c r="O3" s="10" t="inlineStr">
        <is>
          <t>控　　除　　項　　目</t>
        </is>
      </c>
      <c r="V3" s="11" t="inlineStr">
        <is>
          <t>差引
支給額</t>
        </is>
      </c>
    </row>
    <row r="4" ht="30" customHeight="1">
      <c r="A4" s="12" t="inlineStr">
        <is>
          <t>従業員
番号</t>
        </is>
      </c>
      <c r="B4" s="12" t="inlineStr">
        <is>
          <t>氏名</t>
        </is>
      </c>
      <c r="C4" s="12" t="inlineStr">
        <is>
          <t>所属</t>
        </is>
      </c>
      <c r="D4" s="12" t="inlineStr">
        <is>
          <t>所定
労働日数</t>
        </is>
      </c>
      <c r="E4" s="12" t="inlineStr">
        <is>
          <t>出勤
日数</t>
        </is>
      </c>
      <c r="F4" s="12" t="inlineStr">
        <is>
          <t>欠勤
日数</t>
        </is>
      </c>
      <c r="G4" s="12" t="inlineStr">
        <is>
          <t>有給
取得日数</t>
        </is>
      </c>
      <c r="H4" s="12" t="inlineStr">
        <is>
          <t>残業
時間</t>
        </is>
      </c>
      <c r="I4" s="12" t="inlineStr">
        <is>
          <t>基本給</t>
        </is>
      </c>
      <c r="J4" s="12" t="inlineStr">
        <is>
          <t>役職
手当</t>
        </is>
      </c>
      <c r="K4" s="12" t="inlineStr">
        <is>
          <t>残業
手当</t>
        </is>
      </c>
      <c r="L4" s="12" t="inlineStr">
        <is>
          <t>通勤
手当</t>
        </is>
      </c>
      <c r="M4" s="12" t="inlineStr">
        <is>
          <t>その他
手当</t>
        </is>
      </c>
      <c r="N4" s="11" t="inlineStr">
        <is>
          <t>支給
合計</t>
        </is>
      </c>
      <c r="O4" s="12" t="inlineStr">
        <is>
          <t>健康
保険</t>
        </is>
      </c>
      <c r="P4" s="12" t="inlineStr">
        <is>
          <t>厚生
年金</t>
        </is>
      </c>
      <c r="Q4" s="12" t="inlineStr">
        <is>
          <t>雇用
保険</t>
        </is>
      </c>
      <c r="R4" s="12" t="inlineStr">
        <is>
          <t>所得税</t>
        </is>
      </c>
      <c r="S4" s="12" t="inlineStr">
        <is>
          <t>住民税</t>
        </is>
      </c>
      <c r="T4" s="12" t="inlineStr">
        <is>
          <t>その他
控除</t>
        </is>
      </c>
      <c r="U4" s="11" t="inlineStr">
        <is>
          <t>控除
合計</t>
        </is>
      </c>
      <c r="V4" s="11" t="inlineStr">
        <is>
          <t>差引
支給額</t>
        </is>
      </c>
    </row>
    <row r="5" ht="18" customHeight="1">
      <c r="A5" s="13" t="inlineStr">
        <is>
          <t>001</t>
        </is>
      </c>
      <c r="B5" s="14">
        <f>IF(A5="","",IFERROR(VLOOKUP(A5,'マスタ'!$A:$F,2,FALSE),""))</f>
        <v/>
      </c>
      <c r="C5" s="14">
        <f>IF(A5="","",IFERROR(VLOOKUP(A5,'マスタ'!$A:$F,3,FALSE),""))</f>
        <v/>
      </c>
      <c r="D5" s="2" t="n">
        <v>20</v>
      </c>
      <c r="E5" s="2" t="n">
        <v>20</v>
      </c>
      <c r="F5" s="2" t="n">
        <v>0</v>
      </c>
      <c r="G5" s="2" t="n">
        <v>0</v>
      </c>
      <c r="H5" s="2" t="n">
        <v>10</v>
      </c>
      <c r="I5" s="15">
        <f>IF(A5="",0,IFERROR(VLOOKUP(A5,'マスタ'!$A:$F,4,FALSE),0))</f>
        <v/>
      </c>
      <c r="J5" s="15">
        <f>IF(A5="",0,IFERROR(VLOOKUP(A5,'マスタ'!$A:$F,5,FALSE),0))</f>
        <v/>
      </c>
      <c r="K5" s="15">
        <f>IF(A5="",0,ROUND(I5/160*1.25*H5,0))</f>
        <v/>
      </c>
      <c r="L5" s="15">
        <f>IF(A5="",0,IFERROR(VLOOKUP(A5,'マスタ'!$A:$F,6,FALSE),0))</f>
        <v/>
      </c>
      <c r="M5" s="16" t="n">
        <v>0</v>
      </c>
      <c r="N5" s="17">
        <f>SUM(I5:M5)</f>
        <v/>
      </c>
      <c r="O5" s="16" t="n">
        <v>17500</v>
      </c>
      <c r="P5" s="16" t="n">
        <v>32490</v>
      </c>
      <c r="Q5" s="16" t="n">
        <v>2100</v>
      </c>
      <c r="R5" s="16" t="n">
        <v>8500</v>
      </c>
      <c r="S5" s="16" t="n">
        <v>12000</v>
      </c>
      <c r="T5" s="16" t="n">
        <v>0</v>
      </c>
      <c r="U5" s="17">
        <f>SUM(O5:T5)</f>
        <v/>
      </c>
      <c r="V5" s="17">
        <f>N5-U5</f>
        <v/>
      </c>
    </row>
    <row r="6" ht="18" customHeight="1">
      <c r="A6" s="13" t="inlineStr">
        <is>
          <t>002</t>
        </is>
      </c>
      <c r="B6" s="14">
        <f>IF(A6="","",IFERROR(VLOOKUP(A6,'マスタ'!$A:$F,2,FALSE),""))</f>
        <v/>
      </c>
      <c r="C6" s="14">
        <f>IF(A6="","",IFERROR(VLOOKUP(A6,'マスタ'!$A:$F,3,FALSE),""))</f>
        <v/>
      </c>
      <c r="D6" s="2" t="n">
        <v>20</v>
      </c>
      <c r="E6" s="2" t="n">
        <v>19</v>
      </c>
      <c r="F6" s="2" t="n">
        <v>1</v>
      </c>
      <c r="G6" s="2" t="n">
        <v>1</v>
      </c>
      <c r="H6" s="2" t="n">
        <v>5</v>
      </c>
      <c r="I6" s="15">
        <f>IF(A6="",0,IFERROR(VLOOKUP(A6,'マスタ'!$A:$F,4,FALSE),0))</f>
        <v/>
      </c>
      <c r="J6" s="15">
        <f>IF(A6="",0,IFERROR(VLOOKUP(A6,'マスタ'!$A:$F,5,FALSE),0))</f>
        <v/>
      </c>
      <c r="K6" s="15">
        <f>IF(A6="",0,ROUND(I6/160*1.25*H6,0))</f>
        <v/>
      </c>
      <c r="L6" s="15">
        <f>IF(A6="",0,IFERROR(VLOOKUP(A6,'マスタ'!$A:$F,6,FALSE),0))</f>
        <v/>
      </c>
      <c r="M6" s="16" t="n">
        <v>0</v>
      </c>
      <c r="N6" s="17">
        <f>SUM(I6:M6)</f>
        <v/>
      </c>
      <c r="O6" s="16" t="n">
        <v>14000</v>
      </c>
      <c r="P6" s="16" t="n">
        <v>25990</v>
      </c>
      <c r="Q6" s="16" t="n">
        <v>1680</v>
      </c>
      <c r="R6" s="16" t="n">
        <v>5500</v>
      </c>
      <c r="S6" s="16" t="n">
        <v>9000</v>
      </c>
      <c r="T6" s="16" t="n">
        <v>0</v>
      </c>
      <c r="U6" s="17">
        <f>SUM(O6:T6)</f>
        <v/>
      </c>
      <c r="V6" s="17">
        <f>N6-U6</f>
        <v/>
      </c>
    </row>
    <row r="7" ht="18" customHeight="1">
      <c r="A7" s="13" t="inlineStr">
        <is>
          <t>003</t>
        </is>
      </c>
      <c r="B7" s="14">
        <f>IF(A7="","",IFERROR(VLOOKUP(A7,'マスタ'!$A:$F,2,FALSE),""))</f>
        <v/>
      </c>
      <c r="C7" s="14">
        <f>IF(A7="","",IFERROR(VLOOKUP(A7,'マスタ'!$A:$F,3,FALSE),""))</f>
        <v/>
      </c>
      <c r="D7" s="2" t="n">
        <v>20</v>
      </c>
      <c r="E7" s="2" t="n">
        <v>20</v>
      </c>
      <c r="F7" s="2" t="n">
        <v>0</v>
      </c>
      <c r="G7" s="2" t="n">
        <v>2</v>
      </c>
      <c r="H7" s="2" t="n">
        <v>15</v>
      </c>
      <c r="I7" s="15">
        <f>IF(A7="",0,IFERROR(VLOOKUP(A7,'マスタ'!$A:$F,4,FALSE),0))</f>
        <v/>
      </c>
      <c r="J7" s="15">
        <f>IF(A7="",0,IFERROR(VLOOKUP(A7,'マスタ'!$A:$F,5,FALSE),0))</f>
        <v/>
      </c>
      <c r="K7" s="15">
        <f>IF(A7="",0,ROUND(I7/160*1.25*H7,0))</f>
        <v/>
      </c>
      <c r="L7" s="15">
        <f>IF(A7="",0,IFERROR(VLOOKUP(A7,'マスタ'!$A:$F,6,FALSE),0))</f>
        <v/>
      </c>
      <c r="M7" s="16" t="n">
        <v>0</v>
      </c>
      <c r="N7" s="17">
        <f>SUM(I7:M7)</f>
        <v/>
      </c>
      <c r="O7" s="16" t="n">
        <v>16000</v>
      </c>
      <c r="P7" s="16" t="n">
        <v>29730</v>
      </c>
      <c r="Q7" s="16" t="n">
        <v>1920</v>
      </c>
      <c r="R7" s="16" t="n">
        <v>7000</v>
      </c>
      <c r="S7" s="16" t="n">
        <v>10500</v>
      </c>
      <c r="T7" s="16" t="n">
        <v>0</v>
      </c>
      <c r="U7" s="17">
        <f>SUM(O7:T7)</f>
        <v/>
      </c>
      <c r="V7" s="17">
        <f>N7-U7</f>
        <v/>
      </c>
    </row>
    <row r="8" ht="18" customHeight="1">
      <c r="A8" s="2" t="n"/>
      <c r="B8" s="14">
        <f>IF(A8="","",IFERROR(VLOOKUP(A8,'マスタ'!$A:$F,2,FALSE),""))</f>
        <v/>
      </c>
      <c r="C8" s="14">
        <f>IF(A8="","",IFERROR(VLOOKUP(A8,'マスタ'!$A:$F,3,FALSE),""))</f>
        <v/>
      </c>
      <c r="D8" s="2" t="n"/>
      <c r="E8" s="2" t="n"/>
      <c r="F8" s="2" t="n"/>
      <c r="G8" s="2" t="n"/>
      <c r="H8" s="2" t="n"/>
      <c r="I8" s="15">
        <f>IF(A8="",0,IFERROR(VLOOKUP(A8,'マスタ'!$A:$F,4,FALSE),0))</f>
        <v/>
      </c>
      <c r="J8" s="15">
        <f>IF(A8="",0,IFERROR(VLOOKUP(A8,'マスタ'!$A:$F,5,FALSE),0))</f>
        <v/>
      </c>
      <c r="K8" s="15">
        <f>IF(A8="",0,ROUND(I8/160*1.25*H8,0))</f>
        <v/>
      </c>
      <c r="L8" s="15">
        <f>IF(A8="",0,IFERROR(VLOOKUP(A8,'マスタ'!$A:$F,6,FALSE),0))</f>
        <v/>
      </c>
      <c r="M8" s="16" t="n"/>
      <c r="N8" s="17">
        <f>SUM(I8:M8)</f>
        <v/>
      </c>
      <c r="O8" s="16" t="n"/>
      <c r="P8" s="16" t="n"/>
      <c r="Q8" s="16" t="n"/>
      <c r="R8" s="16" t="n"/>
      <c r="S8" s="16" t="n"/>
      <c r="T8" s="16" t="n"/>
      <c r="U8" s="17">
        <f>SUM(O8:T8)</f>
        <v/>
      </c>
      <c r="V8" s="17">
        <f>N8-U8</f>
        <v/>
      </c>
    </row>
    <row r="9" ht="18" customHeight="1">
      <c r="A9" s="2" t="n"/>
      <c r="B9" s="14">
        <f>IF(A9="","",IFERROR(VLOOKUP(A9,'マスタ'!$A:$F,2,FALSE),""))</f>
        <v/>
      </c>
      <c r="C9" s="14">
        <f>IF(A9="","",IFERROR(VLOOKUP(A9,'マスタ'!$A:$F,3,FALSE),""))</f>
        <v/>
      </c>
      <c r="D9" s="2" t="n"/>
      <c r="E9" s="2" t="n"/>
      <c r="F9" s="2" t="n"/>
      <c r="G9" s="2" t="n"/>
      <c r="H9" s="2" t="n"/>
      <c r="I9" s="15">
        <f>IF(A9="",0,IFERROR(VLOOKUP(A9,'マスタ'!$A:$F,4,FALSE),0))</f>
        <v/>
      </c>
      <c r="J9" s="15">
        <f>IF(A9="",0,IFERROR(VLOOKUP(A9,'マスタ'!$A:$F,5,FALSE),0))</f>
        <v/>
      </c>
      <c r="K9" s="15">
        <f>IF(A9="",0,ROUND(I9/160*1.25*H9,0))</f>
        <v/>
      </c>
      <c r="L9" s="15">
        <f>IF(A9="",0,IFERROR(VLOOKUP(A9,'マスタ'!$A:$F,6,FALSE),0))</f>
        <v/>
      </c>
      <c r="M9" s="16" t="n"/>
      <c r="N9" s="17">
        <f>SUM(I9:M9)</f>
        <v/>
      </c>
      <c r="O9" s="16" t="n"/>
      <c r="P9" s="16" t="n"/>
      <c r="Q9" s="16" t="n"/>
      <c r="R9" s="16" t="n"/>
      <c r="S9" s="16" t="n"/>
      <c r="T9" s="16" t="n"/>
      <c r="U9" s="17">
        <f>SUM(O9:T9)</f>
        <v/>
      </c>
      <c r="V9" s="17">
        <f>N9-U9</f>
        <v/>
      </c>
    </row>
    <row r="10" ht="18" customHeight="1">
      <c r="A10" s="2" t="n"/>
      <c r="B10" s="14">
        <f>IF(A10="","",IFERROR(VLOOKUP(A10,'マスタ'!$A:$F,2,FALSE),""))</f>
        <v/>
      </c>
      <c r="C10" s="14">
        <f>IF(A10="","",IFERROR(VLOOKUP(A10,'マスタ'!$A:$F,3,FALSE),""))</f>
        <v/>
      </c>
      <c r="D10" s="2" t="n"/>
      <c r="E10" s="2" t="n"/>
      <c r="F10" s="2" t="n"/>
      <c r="G10" s="2" t="n"/>
      <c r="H10" s="2" t="n"/>
      <c r="I10" s="15">
        <f>IF(A10="",0,IFERROR(VLOOKUP(A10,'マスタ'!$A:$F,4,FALSE),0))</f>
        <v/>
      </c>
      <c r="J10" s="15">
        <f>IF(A10="",0,IFERROR(VLOOKUP(A10,'マスタ'!$A:$F,5,FALSE),0))</f>
        <v/>
      </c>
      <c r="K10" s="15">
        <f>IF(A10="",0,ROUND(I10/160*1.25*H10,0))</f>
        <v/>
      </c>
      <c r="L10" s="15">
        <f>IF(A10="",0,IFERROR(VLOOKUP(A10,'マスタ'!$A:$F,6,FALSE),0))</f>
        <v/>
      </c>
      <c r="M10" s="16" t="n"/>
      <c r="N10" s="17">
        <f>SUM(I10:M10)</f>
        <v/>
      </c>
      <c r="O10" s="16" t="n"/>
      <c r="P10" s="16" t="n"/>
      <c r="Q10" s="16" t="n"/>
      <c r="R10" s="16" t="n"/>
      <c r="S10" s="16" t="n"/>
      <c r="T10" s="16" t="n"/>
      <c r="U10" s="17">
        <f>SUM(O10:T10)</f>
        <v/>
      </c>
      <c r="V10" s="17">
        <f>N10-U10</f>
        <v/>
      </c>
    </row>
    <row r="11" ht="18" customHeight="1">
      <c r="A11" s="2" t="n"/>
      <c r="B11" s="14">
        <f>IF(A11="","",IFERROR(VLOOKUP(A11,'マスタ'!$A:$F,2,FALSE),""))</f>
        <v/>
      </c>
      <c r="C11" s="14">
        <f>IF(A11="","",IFERROR(VLOOKUP(A11,'マスタ'!$A:$F,3,FALSE),""))</f>
        <v/>
      </c>
      <c r="D11" s="2" t="n"/>
      <c r="E11" s="2" t="n"/>
      <c r="F11" s="2" t="n"/>
      <c r="G11" s="2" t="n"/>
      <c r="H11" s="2" t="n"/>
      <c r="I11" s="15">
        <f>IF(A11="",0,IFERROR(VLOOKUP(A11,'マスタ'!$A:$F,4,FALSE),0))</f>
        <v/>
      </c>
      <c r="J11" s="15">
        <f>IF(A11="",0,IFERROR(VLOOKUP(A11,'マスタ'!$A:$F,5,FALSE),0))</f>
        <v/>
      </c>
      <c r="K11" s="15">
        <f>IF(A11="",0,ROUND(I11/160*1.25*H11,0))</f>
        <v/>
      </c>
      <c r="L11" s="15">
        <f>IF(A11="",0,IFERROR(VLOOKUP(A11,'マスタ'!$A:$F,6,FALSE),0))</f>
        <v/>
      </c>
      <c r="M11" s="16" t="n"/>
      <c r="N11" s="17">
        <f>SUM(I11:M11)</f>
        <v/>
      </c>
      <c r="O11" s="16" t="n"/>
      <c r="P11" s="16" t="n"/>
      <c r="Q11" s="16" t="n"/>
      <c r="R11" s="16" t="n"/>
      <c r="S11" s="16" t="n"/>
      <c r="T11" s="16" t="n"/>
      <c r="U11" s="17">
        <f>SUM(O11:T11)</f>
        <v/>
      </c>
      <c r="V11" s="17">
        <f>N11-U11</f>
        <v/>
      </c>
    </row>
    <row r="12" ht="18" customHeight="1">
      <c r="A12" s="2" t="n"/>
      <c r="B12" s="14">
        <f>IF(A12="","",IFERROR(VLOOKUP(A12,'マスタ'!$A:$F,2,FALSE),""))</f>
        <v/>
      </c>
      <c r="C12" s="14">
        <f>IF(A12="","",IFERROR(VLOOKUP(A12,'マスタ'!$A:$F,3,FALSE),""))</f>
        <v/>
      </c>
      <c r="D12" s="2" t="n"/>
      <c r="E12" s="2" t="n"/>
      <c r="F12" s="2" t="n"/>
      <c r="G12" s="2" t="n"/>
      <c r="H12" s="2" t="n"/>
      <c r="I12" s="15">
        <f>IF(A12="",0,IFERROR(VLOOKUP(A12,'マスタ'!$A:$F,4,FALSE),0))</f>
        <v/>
      </c>
      <c r="J12" s="15">
        <f>IF(A12="",0,IFERROR(VLOOKUP(A12,'マスタ'!$A:$F,5,FALSE),0))</f>
        <v/>
      </c>
      <c r="K12" s="15">
        <f>IF(A12="",0,ROUND(I12/160*1.25*H12,0))</f>
        <v/>
      </c>
      <c r="L12" s="15">
        <f>IF(A12="",0,IFERROR(VLOOKUP(A12,'マスタ'!$A:$F,6,FALSE),0))</f>
        <v/>
      </c>
      <c r="M12" s="16" t="n"/>
      <c r="N12" s="17">
        <f>SUM(I12:M12)</f>
        <v/>
      </c>
      <c r="O12" s="16" t="n"/>
      <c r="P12" s="16" t="n"/>
      <c r="Q12" s="16" t="n"/>
      <c r="R12" s="16" t="n"/>
      <c r="S12" s="16" t="n"/>
      <c r="T12" s="16" t="n"/>
      <c r="U12" s="17">
        <f>SUM(O12:T12)</f>
        <v/>
      </c>
      <c r="V12" s="17">
        <f>N12-U12</f>
        <v/>
      </c>
    </row>
    <row r="13" ht="18" customHeight="1">
      <c r="A13" s="2" t="n"/>
      <c r="B13" s="14">
        <f>IF(A13="","",IFERROR(VLOOKUP(A13,'マスタ'!$A:$F,2,FALSE),""))</f>
        <v/>
      </c>
      <c r="C13" s="14">
        <f>IF(A13="","",IFERROR(VLOOKUP(A13,'マスタ'!$A:$F,3,FALSE),""))</f>
        <v/>
      </c>
      <c r="D13" s="2" t="n"/>
      <c r="E13" s="2" t="n"/>
      <c r="F13" s="2" t="n"/>
      <c r="G13" s="2" t="n"/>
      <c r="H13" s="2" t="n"/>
      <c r="I13" s="15">
        <f>IF(A13="",0,IFERROR(VLOOKUP(A13,'マスタ'!$A:$F,4,FALSE),0))</f>
        <v/>
      </c>
      <c r="J13" s="15">
        <f>IF(A13="",0,IFERROR(VLOOKUP(A13,'マスタ'!$A:$F,5,FALSE),0))</f>
        <v/>
      </c>
      <c r="K13" s="15">
        <f>IF(A13="",0,ROUND(I13/160*1.25*H13,0))</f>
        <v/>
      </c>
      <c r="L13" s="15">
        <f>IF(A13="",0,IFERROR(VLOOKUP(A13,'マスタ'!$A:$F,6,FALSE),0))</f>
        <v/>
      </c>
      <c r="M13" s="16" t="n"/>
      <c r="N13" s="17">
        <f>SUM(I13:M13)</f>
        <v/>
      </c>
      <c r="O13" s="16" t="n"/>
      <c r="P13" s="16" t="n"/>
      <c r="Q13" s="16" t="n"/>
      <c r="R13" s="16" t="n"/>
      <c r="S13" s="16" t="n"/>
      <c r="T13" s="16" t="n"/>
      <c r="U13" s="17">
        <f>SUM(O13:T13)</f>
        <v/>
      </c>
      <c r="V13" s="17">
        <f>N13-U13</f>
        <v/>
      </c>
    </row>
    <row r="14" ht="18" customHeight="1">
      <c r="A14" s="2" t="n"/>
      <c r="B14" s="14">
        <f>IF(A14="","",IFERROR(VLOOKUP(A14,'マスタ'!$A:$F,2,FALSE),""))</f>
        <v/>
      </c>
      <c r="C14" s="14">
        <f>IF(A14="","",IFERROR(VLOOKUP(A14,'マスタ'!$A:$F,3,FALSE),""))</f>
        <v/>
      </c>
      <c r="D14" s="2" t="n"/>
      <c r="E14" s="2" t="n"/>
      <c r="F14" s="2" t="n"/>
      <c r="G14" s="2" t="n"/>
      <c r="H14" s="2" t="n"/>
      <c r="I14" s="15">
        <f>IF(A14="",0,IFERROR(VLOOKUP(A14,'マスタ'!$A:$F,4,FALSE),0))</f>
        <v/>
      </c>
      <c r="J14" s="15">
        <f>IF(A14="",0,IFERROR(VLOOKUP(A14,'マスタ'!$A:$F,5,FALSE),0))</f>
        <v/>
      </c>
      <c r="K14" s="15">
        <f>IF(A14="",0,ROUND(I14/160*1.25*H14,0))</f>
        <v/>
      </c>
      <c r="L14" s="15">
        <f>IF(A14="",0,IFERROR(VLOOKUP(A14,'マスタ'!$A:$F,6,FALSE),0))</f>
        <v/>
      </c>
      <c r="M14" s="16" t="n"/>
      <c r="N14" s="17">
        <f>SUM(I14:M14)</f>
        <v/>
      </c>
      <c r="O14" s="16" t="n"/>
      <c r="P14" s="16" t="n"/>
      <c r="Q14" s="16" t="n"/>
      <c r="R14" s="16" t="n"/>
      <c r="S14" s="16" t="n"/>
      <c r="T14" s="16" t="n"/>
      <c r="U14" s="17">
        <f>SUM(O14:T14)</f>
        <v/>
      </c>
      <c r="V14" s="17">
        <f>N14-U14</f>
        <v/>
      </c>
    </row>
    <row r="15" ht="18" customHeight="1">
      <c r="A15" s="18" t="inlineStr">
        <is>
          <t>合　計</t>
        </is>
      </c>
      <c r="D15" s="19">
        <f>SUM(D5:D14)</f>
        <v/>
      </c>
      <c r="E15" s="19">
        <f>SUM(E5:E14)</f>
        <v/>
      </c>
      <c r="F15" s="19">
        <f>SUM(F5:F14)</f>
        <v/>
      </c>
      <c r="G15" s="19">
        <f>SUM(G5:G14)</f>
        <v/>
      </c>
      <c r="H15" s="19">
        <f>SUM(H5:H14)</f>
        <v/>
      </c>
      <c r="I15" s="17">
        <f>SUM(I5:I14)</f>
        <v/>
      </c>
      <c r="J15" s="17">
        <f>SUM(J5:J14)</f>
        <v/>
      </c>
      <c r="K15" s="17">
        <f>SUM(K5:K14)</f>
        <v/>
      </c>
      <c r="L15" s="17">
        <f>SUM(L5:L14)</f>
        <v/>
      </c>
      <c r="M15" s="17">
        <f>SUM(M5:M14)</f>
        <v/>
      </c>
      <c r="N15" s="17">
        <f>SUM(N5:N14)</f>
        <v/>
      </c>
      <c r="O15" s="17">
        <f>SUM(O5:O14)</f>
        <v/>
      </c>
      <c r="P15" s="17">
        <f>SUM(P5:P14)</f>
        <v/>
      </c>
      <c r="Q15" s="17">
        <f>SUM(Q5:Q14)</f>
        <v/>
      </c>
      <c r="R15" s="17">
        <f>SUM(R5:R14)</f>
        <v/>
      </c>
      <c r="S15" s="17">
        <f>SUM(S5:S14)</f>
        <v/>
      </c>
      <c r="T15" s="17">
        <f>SUM(T5:T14)</f>
        <v/>
      </c>
      <c r="U15" s="17">
        <f>SUM(U5:U14)</f>
        <v/>
      </c>
      <c r="V15" s="17">
        <f>SUM(V5:V14)</f>
        <v/>
      </c>
    </row>
  </sheetData>
  <mergeCells count="8">
    <mergeCell ref="A1:V1"/>
    <mergeCell ref="L2:V2"/>
    <mergeCell ref="A2:K2"/>
    <mergeCell ref="O3:U3"/>
    <mergeCell ref="A3:C3"/>
    <mergeCell ref="I3:N3"/>
    <mergeCell ref="A15:C15"/>
    <mergeCell ref="D3:H3"/>
  </mergeCells>
  <pageMargins left="0.5" right="0.5" top="0.75" bottom="0.75" header="0.3" footer="0.3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12" customWidth="1" min="22" max="22"/>
  </cols>
  <sheetData>
    <row r="1" ht="26" customHeight="1">
      <c r="A1" s="6" t="inlineStr">
        <is>
          <t>給与台帳　9月分</t>
        </is>
      </c>
    </row>
    <row r="2" ht="18" customHeight="1">
      <c r="A2" s="7" t="inlineStr">
        <is>
          <t>会社名：株式会社サンプル</t>
        </is>
      </c>
      <c r="L2" s="8" t="inlineStr">
        <is>
          <t>作成日：2026年9月</t>
        </is>
      </c>
    </row>
    <row r="3" ht="30" customHeight="1">
      <c r="A3" s="1" t="inlineStr">
        <is>
          <t>基本情報</t>
        </is>
      </c>
      <c r="D3" s="1" t="inlineStr">
        <is>
          <t>勤　怠　情　報</t>
        </is>
      </c>
      <c r="I3" s="9" t="inlineStr">
        <is>
          <t>支　　給　　項　　目</t>
        </is>
      </c>
      <c r="O3" s="10" t="inlineStr">
        <is>
          <t>控　　除　　項　　目</t>
        </is>
      </c>
      <c r="V3" s="11" t="inlineStr">
        <is>
          <t>差引
支給額</t>
        </is>
      </c>
    </row>
    <row r="4" ht="30" customHeight="1">
      <c r="A4" s="12" t="inlineStr">
        <is>
          <t>従業員
番号</t>
        </is>
      </c>
      <c r="B4" s="12" t="inlineStr">
        <is>
          <t>氏名</t>
        </is>
      </c>
      <c r="C4" s="12" t="inlineStr">
        <is>
          <t>所属</t>
        </is>
      </c>
      <c r="D4" s="12" t="inlineStr">
        <is>
          <t>所定
労働日数</t>
        </is>
      </c>
      <c r="E4" s="12" t="inlineStr">
        <is>
          <t>出勤
日数</t>
        </is>
      </c>
      <c r="F4" s="12" t="inlineStr">
        <is>
          <t>欠勤
日数</t>
        </is>
      </c>
      <c r="G4" s="12" t="inlineStr">
        <is>
          <t>有給
取得日数</t>
        </is>
      </c>
      <c r="H4" s="12" t="inlineStr">
        <is>
          <t>残業
時間</t>
        </is>
      </c>
      <c r="I4" s="12" t="inlineStr">
        <is>
          <t>基本給</t>
        </is>
      </c>
      <c r="J4" s="12" t="inlineStr">
        <is>
          <t>役職
手当</t>
        </is>
      </c>
      <c r="K4" s="12" t="inlineStr">
        <is>
          <t>残業
手当</t>
        </is>
      </c>
      <c r="L4" s="12" t="inlineStr">
        <is>
          <t>通勤
手当</t>
        </is>
      </c>
      <c r="M4" s="12" t="inlineStr">
        <is>
          <t>その他
手当</t>
        </is>
      </c>
      <c r="N4" s="11" t="inlineStr">
        <is>
          <t>支給
合計</t>
        </is>
      </c>
      <c r="O4" s="12" t="inlineStr">
        <is>
          <t>健康
保険</t>
        </is>
      </c>
      <c r="P4" s="12" t="inlineStr">
        <is>
          <t>厚生
年金</t>
        </is>
      </c>
      <c r="Q4" s="12" t="inlineStr">
        <is>
          <t>雇用
保険</t>
        </is>
      </c>
      <c r="R4" s="12" t="inlineStr">
        <is>
          <t>所得税</t>
        </is>
      </c>
      <c r="S4" s="12" t="inlineStr">
        <is>
          <t>住民税</t>
        </is>
      </c>
      <c r="T4" s="12" t="inlineStr">
        <is>
          <t>その他
控除</t>
        </is>
      </c>
      <c r="U4" s="11" t="inlineStr">
        <is>
          <t>控除
合計</t>
        </is>
      </c>
      <c r="V4" s="11" t="inlineStr">
        <is>
          <t>差引
支給額</t>
        </is>
      </c>
    </row>
    <row r="5" ht="18" customHeight="1">
      <c r="A5" s="13" t="inlineStr">
        <is>
          <t>001</t>
        </is>
      </c>
      <c r="B5" s="14">
        <f>IF(A5="","",IFERROR(VLOOKUP(A5,'マスタ'!$A:$F,2,FALSE),""))</f>
        <v/>
      </c>
      <c r="C5" s="14">
        <f>IF(A5="","",IFERROR(VLOOKUP(A5,'マスタ'!$A:$F,3,FALSE),""))</f>
        <v/>
      </c>
      <c r="D5" s="2" t="n">
        <v>20</v>
      </c>
      <c r="E5" s="2" t="n">
        <v>20</v>
      </c>
      <c r="F5" s="2" t="n">
        <v>0</v>
      </c>
      <c r="G5" s="2" t="n">
        <v>0</v>
      </c>
      <c r="H5" s="2" t="n">
        <v>10</v>
      </c>
      <c r="I5" s="15">
        <f>IF(A5="",0,IFERROR(VLOOKUP(A5,'マスタ'!$A:$F,4,FALSE),0))</f>
        <v/>
      </c>
      <c r="J5" s="15">
        <f>IF(A5="",0,IFERROR(VLOOKUP(A5,'マスタ'!$A:$F,5,FALSE),0))</f>
        <v/>
      </c>
      <c r="K5" s="15">
        <f>IF(A5="",0,ROUND(I5/160*1.25*H5,0))</f>
        <v/>
      </c>
      <c r="L5" s="15">
        <f>IF(A5="",0,IFERROR(VLOOKUP(A5,'マスタ'!$A:$F,6,FALSE),0))</f>
        <v/>
      </c>
      <c r="M5" s="16" t="n">
        <v>0</v>
      </c>
      <c r="N5" s="17">
        <f>SUM(I5:M5)</f>
        <v/>
      </c>
      <c r="O5" s="16" t="n">
        <v>17500</v>
      </c>
      <c r="P5" s="16" t="n">
        <v>32490</v>
      </c>
      <c r="Q5" s="16" t="n">
        <v>2100</v>
      </c>
      <c r="R5" s="16" t="n">
        <v>8500</v>
      </c>
      <c r="S5" s="16" t="n">
        <v>12000</v>
      </c>
      <c r="T5" s="16" t="n">
        <v>0</v>
      </c>
      <c r="U5" s="17">
        <f>SUM(O5:T5)</f>
        <v/>
      </c>
      <c r="V5" s="17">
        <f>N5-U5</f>
        <v/>
      </c>
    </row>
    <row r="6" ht="18" customHeight="1">
      <c r="A6" s="13" t="inlineStr">
        <is>
          <t>002</t>
        </is>
      </c>
      <c r="B6" s="14">
        <f>IF(A6="","",IFERROR(VLOOKUP(A6,'マスタ'!$A:$F,2,FALSE),""))</f>
        <v/>
      </c>
      <c r="C6" s="14">
        <f>IF(A6="","",IFERROR(VLOOKUP(A6,'マスタ'!$A:$F,3,FALSE),""))</f>
        <v/>
      </c>
      <c r="D6" s="2" t="n">
        <v>20</v>
      </c>
      <c r="E6" s="2" t="n">
        <v>19</v>
      </c>
      <c r="F6" s="2" t="n">
        <v>1</v>
      </c>
      <c r="G6" s="2" t="n">
        <v>1</v>
      </c>
      <c r="H6" s="2" t="n">
        <v>5</v>
      </c>
      <c r="I6" s="15">
        <f>IF(A6="",0,IFERROR(VLOOKUP(A6,'マスタ'!$A:$F,4,FALSE),0))</f>
        <v/>
      </c>
      <c r="J6" s="15">
        <f>IF(A6="",0,IFERROR(VLOOKUP(A6,'マスタ'!$A:$F,5,FALSE),0))</f>
        <v/>
      </c>
      <c r="K6" s="15">
        <f>IF(A6="",0,ROUND(I6/160*1.25*H6,0))</f>
        <v/>
      </c>
      <c r="L6" s="15">
        <f>IF(A6="",0,IFERROR(VLOOKUP(A6,'マスタ'!$A:$F,6,FALSE),0))</f>
        <v/>
      </c>
      <c r="M6" s="16" t="n">
        <v>0</v>
      </c>
      <c r="N6" s="17">
        <f>SUM(I6:M6)</f>
        <v/>
      </c>
      <c r="O6" s="16" t="n">
        <v>14000</v>
      </c>
      <c r="P6" s="16" t="n">
        <v>25990</v>
      </c>
      <c r="Q6" s="16" t="n">
        <v>1680</v>
      </c>
      <c r="R6" s="16" t="n">
        <v>5500</v>
      </c>
      <c r="S6" s="16" t="n">
        <v>9000</v>
      </c>
      <c r="T6" s="16" t="n">
        <v>0</v>
      </c>
      <c r="U6" s="17">
        <f>SUM(O6:T6)</f>
        <v/>
      </c>
      <c r="V6" s="17">
        <f>N6-U6</f>
        <v/>
      </c>
    </row>
    <row r="7" ht="18" customHeight="1">
      <c r="A7" s="13" t="inlineStr">
        <is>
          <t>003</t>
        </is>
      </c>
      <c r="B7" s="14">
        <f>IF(A7="","",IFERROR(VLOOKUP(A7,'マスタ'!$A:$F,2,FALSE),""))</f>
        <v/>
      </c>
      <c r="C7" s="14">
        <f>IF(A7="","",IFERROR(VLOOKUP(A7,'マスタ'!$A:$F,3,FALSE),""))</f>
        <v/>
      </c>
      <c r="D7" s="2" t="n">
        <v>20</v>
      </c>
      <c r="E7" s="2" t="n">
        <v>20</v>
      </c>
      <c r="F7" s="2" t="n">
        <v>0</v>
      </c>
      <c r="G7" s="2" t="n">
        <v>2</v>
      </c>
      <c r="H7" s="2" t="n">
        <v>15</v>
      </c>
      <c r="I7" s="15">
        <f>IF(A7="",0,IFERROR(VLOOKUP(A7,'マスタ'!$A:$F,4,FALSE),0))</f>
        <v/>
      </c>
      <c r="J7" s="15">
        <f>IF(A7="",0,IFERROR(VLOOKUP(A7,'マスタ'!$A:$F,5,FALSE),0))</f>
        <v/>
      </c>
      <c r="K7" s="15">
        <f>IF(A7="",0,ROUND(I7/160*1.25*H7,0))</f>
        <v/>
      </c>
      <c r="L7" s="15">
        <f>IF(A7="",0,IFERROR(VLOOKUP(A7,'マスタ'!$A:$F,6,FALSE),0))</f>
        <v/>
      </c>
      <c r="M7" s="16" t="n">
        <v>0</v>
      </c>
      <c r="N7" s="17">
        <f>SUM(I7:M7)</f>
        <v/>
      </c>
      <c r="O7" s="16" t="n">
        <v>16000</v>
      </c>
      <c r="P7" s="16" t="n">
        <v>29730</v>
      </c>
      <c r="Q7" s="16" t="n">
        <v>1920</v>
      </c>
      <c r="R7" s="16" t="n">
        <v>7000</v>
      </c>
      <c r="S7" s="16" t="n">
        <v>10500</v>
      </c>
      <c r="T7" s="16" t="n">
        <v>0</v>
      </c>
      <c r="U7" s="17">
        <f>SUM(O7:T7)</f>
        <v/>
      </c>
      <c r="V7" s="17">
        <f>N7-U7</f>
        <v/>
      </c>
    </row>
    <row r="8" ht="18" customHeight="1">
      <c r="A8" s="2" t="n"/>
      <c r="B8" s="14">
        <f>IF(A8="","",IFERROR(VLOOKUP(A8,'マスタ'!$A:$F,2,FALSE),""))</f>
        <v/>
      </c>
      <c r="C8" s="14">
        <f>IF(A8="","",IFERROR(VLOOKUP(A8,'マスタ'!$A:$F,3,FALSE),""))</f>
        <v/>
      </c>
      <c r="D8" s="2" t="n"/>
      <c r="E8" s="2" t="n"/>
      <c r="F8" s="2" t="n"/>
      <c r="G8" s="2" t="n"/>
      <c r="H8" s="2" t="n"/>
      <c r="I8" s="15">
        <f>IF(A8="",0,IFERROR(VLOOKUP(A8,'マスタ'!$A:$F,4,FALSE),0))</f>
        <v/>
      </c>
      <c r="J8" s="15">
        <f>IF(A8="",0,IFERROR(VLOOKUP(A8,'マスタ'!$A:$F,5,FALSE),0))</f>
        <v/>
      </c>
      <c r="K8" s="15">
        <f>IF(A8="",0,ROUND(I8/160*1.25*H8,0))</f>
        <v/>
      </c>
      <c r="L8" s="15">
        <f>IF(A8="",0,IFERROR(VLOOKUP(A8,'マスタ'!$A:$F,6,FALSE),0))</f>
        <v/>
      </c>
      <c r="M8" s="16" t="n"/>
      <c r="N8" s="17">
        <f>SUM(I8:M8)</f>
        <v/>
      </c>
      <c r="O8" s="16" t="n"/>
      <c r="P8" s="16" t="n"/>
      <c r="Q8" s="16" t="n"/>
      <c r="R8" s="16" t="n"/>
      <c r="S8" s="16" t="n"/>
      <c r="T8" s="16" t="n"/>
      <c r="U8" s="17">
        <f>SUM(O8:T8)</f>
        <v/>
      </c>
      <c r="V8" s="17">
        <f>N8-U8</f>
        <v/>
      </c>
    </row>
    <row r="9" ht="18" customHeight="1">
      <c r="A9" s="2" t="n"/>
      <c r="B9" s="14">
        <f>IF(A9="","",IFERROR(VLOOKUP(A9,'マスタ'!$A:$F,2,FALSE),""))</f>
        <v/>
      </c>
      <c r="C9" s="14">
        <f>IF(A9="","",IFERROR(VLOOKUP(A9,'マスタ'!$A:$F,3,FALSE),""))</f>
        <v/>
      </c>
      <c r="D9" s="2" t="n"/>
      <c r="E9" s="2" t="n"/>
      <c r="F9" s="2" t="n"/>
      <c r="G9" s="2" t="n"/>
      <c r="H9" s="2" t="n"/>
      <c r="I9" s="15">
        <f>IF(A9="",0,IFERROR(VLOOKUP(A9,'マスタ'!$A:$F,4,FALSE),0))</f>
        <v/>
      </c>
      <c r="J9" s="15">
        <f>IF(A9="",0,IFERROR(VLOOKUP(A9,'マスタ'!$A:$F,5,FALSE),0))</f>
        <v/>
      </c>
      <c r="K9" s="15">
        <f>IF(A9="",0,ROUND(I9/160*1.25*H9,0))</f>
        <v/>
      </c>
      <c r="L9" s="15">
        <f>IF(A9="",0,IFERROR(VLOOKUP(A9,'マスタ'!$A:$F,6,FALSE),0))</f>
        <v/>
      </c>
      <c r="M9" s="16" t="n"/>
      <c r="N9" s="17">
        <f>SUM(I9:M9)</f>
        <v/>
      </c>
      <c r="O9" s="16" t="n"/>
      <c r="P9" s="16" t="n"/>
      <c r="Q9" s="16" t="n"/>
      <c r="R9" s="16" t="n"/>
      <c r="S9" s="16" t="n"/>
      <c r="T9" s="16" t="n"/>
      <c r="U9" s="17">
        <f>SUM(O9:T9)</f>
        <v/>
      </c>
      <c r="V9" s="17">
        <f>N9-U9</f>
        <v/>
      </c>
    </row>
    <row r="10" ht="18" customHeight="1">
      <c r="A10" s="2" t="n"/>
      <c r="B10" s="14">
        <f>IF(A10="","",IFERROR(VLOOKUP(A10,'マスタ'!$A:$F,2,FALSE),""))</f>
        <v/>
      </c>
      <c r="C10" s="14">
        <f>IF(A10="","",IFERROR(VLOOKUP(A10,'マスタ'!$A:$F,3,FALSE),""))</f>
        <v/>
      </c>
      <c r="D10" s="2" t="n"/>
      <c r="E10" s="2" t="n"/>
      <c r="F10" s="2" t="n"/>
      <c r="G10" s="2" t="n"/>
      <c r="H10" s="2" t="n"/>
      <c r="I10" s="15">
        <f>IF(A10="",0,IFERROR(VLOOKUP(A10,'マスタ'!$A:$F,4,FALSE),0))</f>
        <v/>
      </c>
      <c r="J10" s="15">
        <f>IF(A10="",0,IFERROR(VLOOKUP(A10,'マスタ'!$A:$F,5,FALSE),0))</f>
        <v/>
      </c>
      <c r="K10" s="15">
        <f>IF(A10="",0,ROUND(I10/160*1.25*H10,0))</f>
        <v/>
      </c>
      <c r="L10" s="15">
        <f>IF(A10="",0,IFERROR(VLOOKUP(A10,'マスタ'!$A:$F,6,FALSE),0))</f>
        <v/>
      </c>
      <c r="M10" s="16" t="n"/>
      <c r="N10" s="17">
        <f>SUM(I10:M10)</f>
        <v/>
      </c>
      <c r="O10" s="16" t="n"/>
      <c r="P10" s="16" t="n"/>
      <c r="Q10" s="16" t="n"/>
      <c r="R10" s="16" t="n"/>
      <c r="S10" s="16" t="n"/>
      <c r="T10" s="16" t="n"/>
      <c r="U10" s="17">
        <f>SUM(O10:T10)</f>
        <v/>
      </c>
      <c r="V10" s="17">
        <f>N10-U10</f>
        <v/>
      </c>
    </row>
    <row r="11" ht="18" customHeight="1">
      <c r="A11" s="2" t="n"/>
      <c r="B11" s="14">
        <f>IF(A11="","",IFERROR(VLOOKUP(A11,'マスタ'!$A:$F,2,FALSE),""))</f>
        <v/>
      </c>
      <c r="C11" s="14">
        <f>IF(A11="","",IFERROR(VLOOKUP(A11,'マスタ'!$A:$F,3,FALSE),""))</f>
        <v/>
      </c>
      <c r="D11" s="2" t="n"/>
      <c r="E11" s="2" t="n"/>
      <c r="F11" s="2" t="n"/>
      <c r="G11" s="2" t="n"/>
      <c r="H11" s="2" t="n"/>
      <c r="I11" s="15">
        <f>IF(A11="",0,IFERROR(VLOOKUP(A11,'マスタ'!$A:$F,4,FALSE),0))</f>
        <v/>
      </c>
      <c r="J11" s="15">
        <f>IF(A11="",0,IFERROR(VLOOKUP(A11,'マスタ'!$A:$F,5,FALSE),0))</f>
        <v/>
      </c>
      <c r="K11" s="15">
        <f>IF(A11="",0,ROUND(I11/160*1.25*H11,0))</f>
        <v/>
      </c>
      <c r="L11" s="15">
        <f>IF(A11="",0,IFERROR(VLOOKUP(A11,'マスタ'!$A:$F,6,FALSE),0))</f>
        <v/>
      </c>
      <c r="M11" s="16" t="n"/>
      <c r="N11" s="17">
        <f>SUM(I11:M11)</f>
        <v/>
      </c>
      <c r="O11" s="16" t="n"/>
      <c r="P11" s="16" t="n"/>
      <c r="Q11" s="16" t="n"/>
      <c r="R11" s="16" t="n"/>
      <c r="S11" s="16" t="n"/>
      <c r="T11" s="16" t="n"/>
      <c r="U11" s="17">
        <f>SUM(O11:T11)</f>
        <v/>
      </c>
      <c r="V11" s="17">
        <f>N11-U11</f>
        <v/>
      </c>
    </row>
    <row r="12" ht="18" customHeight="1">
      <c r="A12" s="2" t="n"/>
      <c r="B12" s="14">
        <f>IF(A12="","",IFERROR(VLOOKUP(A12,'マスタ'!$A:$F,2,FALSE),""))</f>
        <v/>
      </c>
      <c r="C12" s="14">
        <f>IF(A12="","",IFERROR(VLOOKUP(A12,'マスタ'!$A:$F,3,FALSE),""))</f>
        <v/>
      </c>
      <c r="D12" s="2" t="n"/>
      <c r="E12" s="2" t="n"/>
      <c r="F12" s="2" t="n"/>
      <c r="G12" s="2" t="n"/>
      <c r="H12" s="2" t="n"/>
      <c r="I12" s="15">
        <f>IF(A12="",0,IFERROR(VLOOKUP(A12,'マスタ'!$A:$F,4,FALSE),0))</f>
        <v/>
      </c>
      <c r="J12" s="15">
        <f>IF(A12="",0,IFERROR(VLOOKUP(A12,'マスタ'!$A:$F,5,FALSE),0))</f>
        <v/>
      </c>
      <c r="K12" s="15">
        <f>IF(A12="",0,ROUND(I12/160*1.25*H12,0))</f>
        <v/>
      </c>
      <c r="L12" s="15">
        <f>IF(A12="",0,IFERROR(VLOOKUP(A12,'マスタ'!$A:$F,6,FALSE),0))</f>
        <v/>
      </c>
      <c r="M12" s="16" t="n"/>
      <c r="N12" s="17">
        <f>SUM(I12:M12)</f>
        <v/>
      </c>
      <c r="O12" s="16" t="n"/>
      <c r="P12" s="16" t="n"/>
      <c r="Q12" s="16" t="n"/>
      <c r="R12" s="16" t="n"/>
      <c r="S12" s="16" t="n"/>
      <c r="T12" s="16" t="n"/>
      <c r="U12" s="17">
        <f>SUM(O12:T12)</f>
        <v/>
      </c>
      <c r="V12" s="17">
        <f>N12-U12</f>
        <v/>
      </c>
    </row>
    <row r="13" ht="18" customHeight="1">
      <c r="A13" s="2" t="n"/>
      <c r="B13" s="14">
        <f>IF(A13="","",IFERROR(VLOOKUP(A13,'マスタ'!$A:$F,2,FALSE),""))</f>
        <v/>
      </c>
      <c r="C13" s="14">
        <f>IF(A13="","",IFERROR(VLOOKUP(A13,'マスタ'!$A:$F,3,FALSE),""))</f>
        <v/>
      </c>
      <c r="D13" s="2" t="n"/>
      <c r="E13" s="2" t="n"/>
      <c r="F13" s="2" t="n"/>
      <c r="G13" s="2" t="n"/>
      <c r="H13" s="2" t="n"/>
      <c r="I13" s="15">
        <f>IF(A13="",0,IFERROR(VLOOKUP(A13,'マスタ'!$A:$F,4,FALSE),0))</f>
        <v/>
      </c>
      <c r="J13" s="15">
        <f>IF(A13="",0,IFERROR(VLOOKUP(A13,'マスタ'!$A:$F,5,FALSE),0))</f>
        <v/>
      </c>
      <c r="K13" s="15">
        <f>IF(A13="",0,ROUND(I13/160*1.25*H13,0))</f>
        <v/>
      </c>
      <c r="L13" s="15">
        <f>IF(A13="",0,IFERROR(VLOOKUP(A13,'マスタ'!$A:$F,6,FALSE),0))</f>
        <v/>
      </c>
      <c r="M13" s="16" t="n"/>
      <c r="N13" s="17">
        <f>SUM(I13:M13)</f>
        <v/>
      </c>
      <c r="O13" s="16" t="n"/>
      <c r="P13" s="16" t="n"/>
      <c r="Q13" s="16" t="n"/>
      <c r="R13" s="16" t="n"/>
      <c r="S13" s="16" t="n"/>
      <c r="T13" s="16" t="n"/>
      <c r="U13" s="17">
        <f>SUM(O13:T13)</f>
        <v/>
      </c>
      <c r="V13" s="17">
        <f>N13-U13</f>
        <v/>
      </c>
    </row>
    <row r="14" ht="18" customHeight="1">
      <c r="A14" s="2" t="n"/>
      <c r="B14" s="14">
        <f>IF(A14="","",IFERROR(VLOOKUP(A14,'マスタ'!$A:$F,2,FALSE),""))</f>
        <v/>
      </c>
      <c r="C14" s="14">
        <f>IF(A14="","",IFERROR(VLOOKUP(A14,'マスタ'!$A:$F,3,FALSE),""))</f>
        <v/>
      </c>
      <c r="D14" s="2" t="n"/>
      <c r="E14" s="2" t="n"/>
      <c r="F14" s="2" t="n"/>
      <c r="G14" s="2" t="n"/>
      <c r="H14" s="2" t="n"/>
      <c r="I14" s="15">
        <f>IF(A14="",0,IFERROR(VLOOKUP(A14,'マスタ'!$A:$F,4,FALSE),0))</f>
        <v/>
      </c>
      <c r="J14" s="15">
        <f>IF(A14="",0,IFERROR(VLOOKUP(A14,'マスタ'!$A:$F,5,FALSE),0))</f>
        <v/>
      </c>
      <c r="K14" s="15">
        <f>IF(A14="",0,ROUND(I14/160*1.25*H14,0))</f>
        <v/>
      </c>
      <c r="L14" s="15">
        <f>IF(A14="",0,IFERROR(VLOOKUP(A14,'マスタ'!$A:$F,6,FALSE),0))</f>
        <v/>
      </c>
      <c r="M14" s="16" t="n"/>
      <c r="N14" s="17">
        <f>SUM(I14:M14)</f>
        <v/>
      </c>
      <c r="O14" s="16" t="n"/>
      <c r="P14" s="16" t="n"/>
      <c r="Q14" s="16" t="n"/>
      <c r="R14" s="16" t="n"/>
      <c r="S14" s="16" t="n"/>
      <c r="T14" s="16" t="n"/>
      <c r="U14" s="17">
        <f>SUM(O14:T14)</f>
        <v/>
      </c>
      <c r="V14" s="17">
        <f>N14-U14</f>
        <v/>
      </c>
    </row>
    <row r="15" ht="18" customHeight="1">
      <c r="A15" s="18" t="inlineStr">
        <is>
          <t>合　計</t>
        </is>
      </c>
      <c r="D15" s="19">
        <f>SUM(D5:D14)</f>
        <v/>
      </c>
      <c r="E15" s="19">
        <f>SUM(E5:E14)</f>
        <v/>
      </c>
      <c r="F15" s="19">
        <f>SUM(F5:F14)</f>
        <v/>
      </c>
      <c r="G15" s="19">
        <f>SUM(G5:G14)</f>
        <v/>
      </c>
      <c r="H15" s="19">
        <f>SUM(H5:H14)</f>
        <v/>
      </c>
      <c r="I15" s="17">
        <f>SUM(I5:I14)</f>
        <v/>
      </c>
      <c r="J15" s="17">
        <f>SUM(J5:J14)</f>
        <v/>
      </c>
      <c r="K15" s="17">
        <f>SUM(K5:K14)</f>
        <v/>
      </c>
      <c r="L15" s="17">
        <f>SUM(L5:L14)</f>
        <v/>
      </c>
      <c r="M15" s="17">
        <f>SUM(M5:M14)</f>
        <v/>
      </c>
      <c r="N15" s="17">
        <f>SUM(N5:N14)</f>
        <v/>
      </c>
      <c r="O15" s="17">
        <f>SUM(O5:O14)</f>
        <v/>
      </c>
      <c r="P15" s="17">
        <f>SUM(P5:P14)</f>
        <v/>
      </c>
      <c r="Q15" s="17">
        <f>SUM(Q5:Q14)</f>
        <v/>
      </c>
      <c r="R15" s="17">
        <f>SUM(R5:R14)</f>
        <v/>
      </c>
      <c r="S15" s="17">
        <f>SUM(S5:S14)</f>
        <v/>
      </c>
      <c r="T15" s="17">
        <f>SUM(T5:T14)</f>
        <v/>
      </c>
      <c r="U15" s="17">
        <f>SUM(U5:U14)</f>
        <v/>
      </c>
      <c r="V15" s="17">
        <f>SUM(V5:V14)</f>
        <v/>
      </c>
    </row>
  </sheetData>
  <mergeCells count="8">
    <mergeCell ref="A1:V1"/>
    <mergeCell ref="L2:V2"/>
    <mergeCell ref="A2:K2"/>
    <mergeCell ref="O3:U3"/>
    <mergeCell ref="A3:C3"/>
    <mergeCell ref="I3:N3"/>
    <mergeCell ref="A15:C15"/>
    <mergeCell ref="D3:H3"/>
  </mergeCells>
  <pageMargins left="0.5" right="0.5" top="0.75" bottom="0.75" header="0.3" footer="0.3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12" customWidth="1" min="22" max="22"/>
  </cols>
  <sheetData>
    <row r="1" ht="26" customHeight="1">
      <c r="A1" s="6" t="inlineStr">
        <is>
          <t>給与台帳　10月分</t>
        </is>
      </c>
    </row>
    <row r="2" ht="18" customHeight="1">
      <c r="A2" s="7" t="inlineStr">
        <is>
          <t>会社名：株式会社サンプル</t>
        </is>
      </c>
      <c r="L2" s="8" t="inlineStr">
        <is>
          <t>作成日：2026年10月</t>
        </is>
      </c>
    </row>
    <row r="3" ht="30" customHeight="1">
      <c r="A3" s="1" t="inlineStr">
        <is>
          <t>基本情報</t>
        </is>
      </c>
      <c r="D3" s="1" t="inlineStr">
        <is>
          <t>勤　怠　情　報</t>
        </is>
      </c>
      <c r="I3" s="9" t="inlineStr">
        <is>
          <t>支　　給　　項　　目</t>
        </is>
      </c>
      <c r="O3" s="10" t="inlineStr">
        <is>
          <t>控　　除　　項　　目</t>
        </is>
      </c>
      <c r="V3" s="11" t="inlineStr">
        <is>
          <t>差引
支給額</t>
        </is>
      </c>
    </row>
    <row r="4" ht="30" customHeight="1">
      <c r="A4" s="12" t="inlineStr">
        <is>
          <t>従業員
番号</t>
        </is>
      </c>
      <c r="B4" s="12" t="inlineStr">
        <is>
          <t>氏名</t>
        </is>
      </c>
      <c r="C4" s="12" t="inlineStr">
        <is>
          <t>所属</t>
        </is>
      </c>
      <c r="D4" s="12" t="inlineStr">
        <is>
          <t>所定
労働日数</t>
        </is>
      </c>
      <c r="E4" s="12" t="inlineStr">
        <is>
          <t>出勤
日数</t>
        </is>
      </c>
      <c r="F4" s="12" t="inlineStr">
        <is>
          <t>欠勤
日数</t>
        </is>
      </c>
      <c r="G4" s="12" t="inlineStr">
        <is>
          <t>有給
取得日数</t>
        </is>
      </c>
      <c r="H4" s="12" t="inlineStr">
        <is>
          <t>残業
時間</t>
        </is>
      </c>
      <c r="I4" s="12" t="inlineStr">
        <is>
          <t>基本給</t>
        </is>
      </c>
      <c r="J4" s="12" t="inlineStr">
        <is>
          <t>役職
手当</t>
        </is>
      </c>
      <c r="K4" s="12" t="inlineStr">
        <is>
          <t>残業
手当</t>
        </is>
      </c>
      <c r="L4" s="12" t="inlineStr">
        <is>
          <t>通勤
手当</t>
        </is>
      </c>
      <c r="M4" s="12" t="inlineStr">
        <is>
          <t>その他
手当</t>
        </is>
      </c>
      <c r="N4" s="11" t="inlineStr">
        <is>
          <t>支給
合計</t>
        </is>
      </c>
      <c r="O4" s="12" t="inlineStr">
        <is>
          <t>健康
保険</t>
        </is>
      </c>
      <c r="P4" s="12" t="inlineStr">
        <is>
          <t>厚生
年金</t>
        </is>
      </c>
      <c r="Q4" s="12" t="inlineStr">
        <is>
          <t>雇用
保険</t>
        </is>
      </c>
      <c r="R4" s="12" t="inlineStr">
        <is>
          <t>所得税</t>
        </is>
      </c>
      <c r="S4" s="12" t="inlineStr">
        <is>
          <t>住民税</t>
        </is>
      </c>
      <c r="T4" s="12" t="inlineStr">
        <is>
          <t>その他
控除</t>
        </is>
      </c>
      <c r="U4" s="11" t="inlineStr">
        <is>
          <t>控除
合計</t>
        </is>
      </c>
      <c r="V4" s="11" t="inlineStr">
        <is>
          <t>差引
支給額</t>
        </is>
      </c>
    </row>
    <row r="5" ht="18" customHeight="1">
      <c r="A5" s="13" t="inlineStr">
        <is>
          <t>001</t>
        </is>
      </c>
      <c r="B5" s="14">
        <f>IF(A5="","",IFERROR(VLOOKUP(A5,'マスタ'!$A:$F,2,FALSE),""))</f>
        <v/>
      </c>
      <c r="C5" s="14">
        <f>IF(A5="","",IFERROR(VLOOKUP(A5,'マスタ'!$A:$F,3,FALSE),""))</f>
        <v/>
      </c>
      <c r="D5" s="2" t="n">
        <v>20</v>
      </c>
      <c r="E5" s="2" t="n">
        <v>20</v>
      </c>
      <c r="F5" s="2" t="n">
        <v>0</v>
      </c>
      <c r="G5" s="2" t="n">
        <v>0</v>
      </c>
      <c r="H5" s="2" t="n">
        <v>10</v>
      </c>
      <c r="I5" s="15">
        <f>IF(A5="",0,IFERROR(VLOOKUP(A5,'マスタ'!$A:$F,4,FALSE),0))</f>
        <v/>
      </c>
      <c r="J5" s="15">
        <f>IF(A5="",0,IFERROR(VLOOKUP(A5,'マスタ'!$A:$F,5,FALSE),0))</f>
        <v/>
      </c>
      <c r="K5" s="15">
        <f>IF(A5="",0,ROUND(I5/160*1.25*H5,0))</f>
        <v/>
      </c>
      <c r="L5" s="15">
        <f>IF(A5="",0,IFERROR(VLOOKUP(A5,'マスタ'!$A:$F,6,FALSE),0))</f>
        <v/>
      </c>
      <c r="M5" s="16" t="n">
        <v>0</v>
      </c>
      <c r="N5" s="17">
        <f>SUM(I5:M5)</f>
        <v/>
      </c>
      <c r="O5" s="16" t="n">
        <v>17500</v>
      </c>
      <c r="P5" s="16" t="n">
        <v>32490</v>
      </c>
      <c r="Q5" s="16" t="n">
        <v>2100</v>
      </c>
      <c r="R5" s="16" t="n">
        <v>8500</v>
      </c>
      <c r="S5" s="16" t="n">
        <v>12000</v>
      </c>
      <c r="T5" s="16" t="n">
        <v>0</v>
      </c>
      <c r="U5" s="17">
        <f>SUM(O5:T5)</f>
        <v/>
      </c>
      <c r="V5" s="17">
        <f>N5-U5</f>
        <v/>
      </c>
    </row>
    <row r="6" ht="18" customHeight="1">
      <c r="A6" s="13" t="inlineStr">
        <is>
          <t>002</t>
        </is>
      </c>
      <c r="B6" s="14">
        <f>IF(A6="","",IFERROR(VLOOKUP(A6,'マスタ'!$A:$F,2,FALSE),""))</f>
        <v/>
      </c>
      <c r="C6" s="14">
        <f>IF(A6="","",IFERROR(VLOOKUP(A6,'マスタ'!$A:$F,3,FALSE),""))</f>
        <v/>
      </c>
      <c r="D6" s="2" t="n">
        <v>20</v>
      </c>
      <c r="E6" s="2" t="n">
        <v>19</v>
      </c>
      <c r="F6" s="2" t="n">
        <v>1</v>
      </c>
      <c r="G6" s="2" t="n">
        <v>1</v>
      </c>
      <c r="H6" s="2" t="n">
        <v>5</v>
      </c>
      <c r="I6" s="15">
        <f>IF(A6="",0,IFERROR(VLOOKUP(A6,'マスタ'!$A:$F,4,FALSE),0))</f>
        <v/>
      </c>
      <c r="J6" s="15">
        <f>IF(A6="",0,IFERROR(VLOOKUP(A6,'マスタ'!$A:$F,5,FALSE),0))</f>
        <v/>
      </c>
      <c r="K6" s="15">
        <f>IF(A6="",0,ROUND(I6/160*1.25*H6,0))</f>
        <v/>
      </c>
      <c r="L6" s="15">
        <f>IF(A6="",0,IFERROR(VLOOKUP(A6,'マスタ'!$A:$F,6,FALSE),0))</f>
        <v/>
      </c>
      <c r="M6" s="16" t="n">
        <v>0</v>
      </c>
      <c r="N6" s="17">
        <f>SUM(I6:M6)</f>
        <v/>
      </c>
      <c r="O6" s="16" t="n">
        <v>14000</v>
      </c>
      <c r="P6" s="16" t="n">
        <v>25990</v>
      </c>
      <c r="Q6" s="16" t="n">
        <v>1680</v>
      </c>
      <c r="R6" s="16" t="n">
        <v>5500</v>
      </c>
      <c r="S6" s="16" t="n">
        <v>9000</v>
      </c>
      <c r="T6" s="16" t="n">
        <v>0</v>
      </c>
      <c r="U6" s="17">
        <f>SUM(O6:T6)</f>
        <v/>
      </c>
      <c r="V6" s="17">
        <f>N6-U6</f>
        <v/>
      </c>
    </row>
    <row r="7" ht="18" customHeight="1">
      <c r="A7" s="13" t="inlineStr">
        <is>
          <t>003</t>
        </is>
      </c>
      <c r="B7" s="14">
        <f>IF(A7="","",IFERROR(VLOOKUP(A7,'マスタ'!$A:$F,2,FALSE),""))</f>
        <v/>
      </c>
      <c r="C7" s="14">
        <f>IF(A7="","",IFERROR(VLOOKUP(A7,'マスタ'!$A:$F,3,FALSE),""))</f>
        <v/>
      </c>
      <c r="D7" s="2" t="n">
        <v>20</v>
      </c>
      <c r="E7" s="2" t="n">
        <v>20</v>
      </c>
      <c r="F7" s="2" t="n">
        <v>0</v>
      </c>
      <c r="G7" s="2" t="n">
        <v>2</v>
      </c>
      <c r="H7" s="2" t="n">
        <v>15</v>
      </c>
      <c r="I7" s="15">
        <f>IF(A7="",0,IFERROR(VLOOKUP(A7,'マスタ'!$A:$F,4,FALSE),0))</f>
        <v/>
      </c>
      <c r="J7" s="15">
        <f>IF(A7="",0,IFERROR(VLOOKUP(A7,'マスタ'!$A:$F,5,FALSE),0))</f>
        <v/>
      </c>
      <c r="K7" s="15">
        <f>IF(A7="",0,ROUND(I7/160*1.25*H7,0))</f>
        <v/>
      </c>
      <c r="L7" s="15">
        <f>IF(A7="",0,IFERROR(VLOOKUP(A7,'マスタ'!$A:$F,6,FALSE),0))</f>
        <v/>
      </c>
      <c r="M7" s="16" t="n">
        <v>0</v>
      </c>
      <c r="N7" s="17">
        <f>SUM(I7:M7)</f>
        <v/>
      </c>
      <c r="O7" s="16" t="n">
        <v>16000</v>
      </c>
      <c r="P7" s="16" t="n">
        <v>29730</v>
      </c>
      <c r="Q7" s="16" t="n">
        <v>1920</v>
      </c>
      <c r="R7" s="16" t="n">
        <v>7000</v>
      </c>
      <c r="S7" s="16" t="n">
        <v>10500</v>
      </c>
      <c r="T7" s="16" t="n">
        <v>0</v>
      </c>
      <c r="U7" s="17">
        <f>SUM(O7:T7)</f>
        <v/>
      </c>
      <c r="V7" s="17">
        <f>N7-U7</f>
        <v/>
      </c>
    </row>
    <row r="8" ht="18" customHeight="1">
      <c r="A8" s="2" t="n"/>
      <c r="B8" s="14">
        <f>IF(A8="","",IFERROR(VLOOKUP(A8,'マスタ'!$A:$F,2,FALSE),""))</f>
        <v/>
      </c>
      <c r="C8" s="14">
        <f>IF(A8="","",IFERROR(VLOOKUP(A8,'マスタ'!$A:$F,3,FALSE),""))</f>
        <v/>
      </c>
      <c r="D8" s="2" t="n"/>
      <c r="E8" s="2" t="n"/>
      <c r="F8" s="2" t="n"/>
      <c r="G8" s="2" t="n"/>
      <c r="H8" s="2" t="n"/>
      <c r="I8" s="15">
        <f>IF(A8="",0,IFERROR(VLOOKUP(A8,'マスタ'!$A:$F,4,FALSE),0))</f>
        <v/>
      </c>
      <c r="J8" s="15">
        <f>IF(A8="",0,IFERROR(VLOOKUP(A8,'マスタ'!$A:$F,5,FALSE),0))</f>
        <v/>
      </c>
      <c r="K8" s="15">
        <f>IF(A8="",0,ROUND(I8/160*1.25*H8,0))</f>
        <v/>
      </c>
      <c r="L8" s="15">
        <f>IF(A8="",0,IFERROR(VLOOKUP(A8,'マスタ'!$A:$F,6,FALSE),0))</f>
        <v/>
      </c>
      <c r="M8" s="16" t="n"/>
      <c r="N8" s="17">
        <f>SUM(I8:M8)</f>
        <v/>
      </c>
      <c r="O8" s="16" t="n"/>
      <c r="P8" s="16" t="n"/>
      <c r="Q8" s="16" t="n"/>
      <c r="R8" s="16" t="n"/>
      <c r="S8" s="16" t="n"/>
      <c r="T8" s="16" t="n"/>
      <c r="U8" s="17">
        <f>SUM(O8:T8)</f>
        <v/>
      </c>
      <c r="V8" s="17">
        <f>N8-U8</f>
        <v/>
      </c>
    </row>
    <row r="9" ht="18" customHeight="1">
      <c r="A9" s="2" t="n"/>
      <c r="B9" s="14">
        <f>IF(A9="","",IFERROR(VLOOKUP(A9,'マスタ'!$A:$F,2,FALSE),""))</f>
        <v/>
      </c>
      <c r="C9" s="14">
        <f>IF(A9="","",IFERROR(VLOOKUP(A9,'マスタ'!$A:$F,3,FALSE),""))</f>
        <v/>
      </c>
      <c r="D9" s="2" t="n"/>
      <c r="E9" s="2" t="n"/>
      <c r="F9" s="2" t="n"/>
      <c r="G9" s="2" t="n"/>
      <c r="H9" s="2" t="n"/>
      <c r="I9" s="15">
        <f>IF(A9="",0,IFERROR(VLOOKUP(A9,'マスタ'!$A:$F,4,FALSE),0))</f>
        <v/>
      </c>
      <c r="J9" s="15">
        <f>IF(A9="",0,IFERROR(VLOOKUP(A9,'マスタ'!$A:$F,5,FALSE),0))</f>
        <v/>
      </c>
      <c r="K9" s="15">
        <f>IF(A9="",0,ROUND(I9/160*1.25*H9,0))</f>
        <v/>
      </c>
      <c r="L9" s="15">
        <f>IF(A9="",0,IFERROR(VLOOKUP(A9,'マスタ'!$A:$F,6,FALSE),0))</f>
        <v/>
      </c>
      <c r="M9" s="16" t="n"/>
      <c r="N9" s="17">
        <f>SUM(I9:M9)</f>
        <v/>
      </c>
      <c r="O9" s="16" t="n"/>
      <c r="P9" s="16" t="n"/>
      <c r="Q9" s="16" t="n"/>
      <c r="R9" s="16" t="n"/>
      <c r="S9" s="16" t="n"/>
      <c r="T9" s="16" t="n"/>
      <c r="U9" s="17">
        <f>SUM(O9:T9)</f>
        <v/>
      </c>
      <c r="V9" s="17">
        <f>N9-U9</f>
        <v/>
      </c>
    </row>
    <row r="10" ht="18" customHeight="1">
      <c r="A10" s="2" t="n"/>
      <c r="B10" s="14">
        <f>IF(A10="","",IFERROR(VLOOKUP(A10,'マスタ'!$A:$F,2,FALSE),""))</f>
        <v/>
      </c>
      <c r="C10" s="14">
        <f>IF(A10="","",IFERROR(VLOOKUP(A10,'マスタ'!$A:$F,3,FALSE),""))</f>
        <v/>
      </c>
      <c r="D10" s="2" t="n"/>
      <c r="E10" s="2" t="n"/>
      <c r="F10" s="2" t="n"/>
      <c r="G10" s="2" t="n"/>
      <c r="H10" s="2" t="n"/>
      <c r="I10" s="15">
        <f>IF(A10="",0,IFERROR(VLOOKUP(A10,'マスタ'!$A:$F,4,FALSE),0))</f>
        <v/>
      </c>
      <c r="J10" s="15">
        <f>IF(A10="",0,IFERROR(VLOOKUP(A10,'マスタ'!$A:$F,5,FALSE),0))</f>
        <v/>
      </c>
      <c r="K10" s="15">
        <f>IF(A10="",0,ROUND(I10/160*1.25*H10,0))</f>
        <v/>
      </c>
      <c r="L10" s="15">
        <f>IF(A10="",0,IFERROR(VLOOKUP(A10,'マスタ'!$A:$F,6,FALSE),0))</f>
        <v/>
      </c>
      <c r="M10" s="16" t="n"/>
      <c r="N10" s="17">
        <f>SUM(I10:M10)</f>
        <v/>
      </c>
      <c r="O10" s="16" t="n"/>
      <c r="P10" s="16" t="n"/>
      <c r="Q10" s="16" t="n"/>
      <c r="R10" s="16" t="n"/>
      <c r="S10" s="16" t="n"/>
      <c r="T10" s="16" t="n"/>
      <c r="U10" s="17">
        <f>SUM(O10:T10)</f>
        <v/>
      </c>
      <c r="V10" s="17">
        <f>N10-U10</f>
        <v/>
      </c>
    </row>
    <row r="11" ht="18" customHeight="1">
      <c r="A11" s="2" t="n"/>
      <c r="B11" s="14">
        <f>IF(A11="","",IFERROR(VLOOKUP(A11,'マスタ'!$A:$F,2,FALSE),""))</f>
        <v/>
      </c>
      <c r="C11" s="14">
        <f>IF(A11="","",IFERROR(VLOOKUP(A11,'マスタ'!$A:$F,3,FALSE),""))</f>
        <v/>
      </c>
      <c r="D11" s="2" t="n"/>
      <c r="E11" s="2" t="n"/>
      <c r="F11" s="2" t="n"/>
      <c r="G11" s="2" t="n"/>
      <c r="H11" s="2" t="n"/>
      <c r="I11" s="15">
        <f>IF(A11="",0,IFERROR(VLOOKUP(A11,'マスタ'!$A:$F,4,FALSE),0))</f>
        <v/>
      </c>
      <c r="J11" s="15">
        <f>IF(A11="",0,IFERROR(VLOOKUP(A11,'マスタ'!$A:$F,5,FALSE),0))</f>
        <v/>
      </c>
      <c r="K11" s="15">
        <f>IF(A11="",0,ROUND(I11/160*1.25*H11,0))</f>
        <v/>
      </c>
      <c r="L11" s="15">
        <f>IF(A11="",0,IFERROR(VLOOKUP(A11,'マスタ'!$A:$F,6,FALSE),0))</f>
        <v/>
      </c>
      <c r="M11" s="16" t="n"/>
      <c r="N11" s="17">
        <f>SUM(I11:M11)</f>
        <v/>
      </c>
      <c r="O11" s="16" t="n"/>
      <c r="P11" s="16" t="n"/>
      <c r="Q11" s="16" t="n"/>
      <c r="R11" s="16" t="n"/>
      <c r="S11" s="16" t="n"/>
      <c r="T11" s="16" t="n"/>
      <c r="U11" s="17">
        <f>SUM(O11:T11)</f>
        <v/>
      </c>
      <c r="V11" s="17">
        <f>N11-U11</f>
        <v/>
      </c>
    </row>
    <row r="12" ht="18" customHeight="1">
      <c r="A12" s="2" t="n"/>
      <c r="B12" s="14">
        <f>IF(A12="","",IFERROR(VLOOKUP(A12,'マスタ'!$A:$F,2,FALSE),""))</f>
        <v/>
      </c>
      <c r="C12" s="14">
        <f>IF(A12="","",IFERROR(VLOOKUP(A12,'マスタ'!$A:$F,3,FALSE),""))</f>
        <v/>
      </c>
      <c r="D12" s="2" t="n"/>
      <c r="E12" s="2" t="n"/>
      <c r="F12" s="2" t="n"/>
      <c r="G12" s="2" t="n"/>
      <c r="H12" s="2" t="n"/>
      <c r="I12" s="15">
        <f>IF(A12="",0,IFERROR(VLOOKUP(A12,'マスタ'!$A:$F,4,FALSE),0))</f>
        <v/>
      </c>
      <c r="J12" s="15">
        <f>IF(A12="",0,IFERROR(VLOOKUP(A12,'マスタ'!$A:$F,5,FALSE),0))</f>
        <v/>
      </c>
      <c r="K12" s="15">
        <f>IF(A12="",0,ROUND(I12/160*1.25*H12,0))</f>
        <v/>
      </c>
      <c r="L12" s="15">
        <f>IF(A12="",0,IFERROR(VLOOKUP(A12,'マスタ'!$A:$F,6,FALSE),0))</f>
        <v/>
      </c>
      <c r="M12" s="16" t="n"/>
      <c r="N12" s="17">
        <f>SUM(I12:M12)</f>
        <v/>
      </c>
      <c r="O12" s="16" t="n"/>
      <c r="P12" s="16" t="n"/>
      <c r="Q12" s="16" t="n"/>
      <c r="R12" s="16" t="n"/>
      <c r="S12" s="16" t="n"/>
      <c r="T12" s="16" t="n"/>
      <c r="U12" s="17">
        <f>SUM(O12:T12)</f>
        <v/>
      </c>
      <c r="V12" s="17">
        <f>N12-U12</f>
        <v/>
      </c>
    </row>
    <row r="13" ht="18" customHeight="1">
      <c r="A13" s="2" t="n"/>
      <c r="B13" s="14">
        <f>IF(A13="","",IFERROR(VLOOKUP(A13,'マスタ'!$A:$F,2,FALSE),""))</f>
        <v/>
      </c>
      <c r="C13" s="14">
        <f>IF(A13="","",IFERROR(VLOOKUP(A13,'マスタ'!$A:$F,3,FALSE),""))</f>
        <v/>
      </c>
      <c r="D13" s="2" t="n"/>
      <c r="E13" s="2" t="n"/>
      <c r="F13" s="2" t="n"/>
      <c r="G13" s="2" t="n"/>
      <c r="H13" s="2" t="n"/>
      <c r="I13" s="15">
        <f>IF(A13="",0,IFERROR(VLOOKUP(A13,'マスタ'!$A:$F,4,FALSE),0))</f>
        <v/>
      </c>
      <c r="J13" s="15">
        <f>IF(A13="",0,IFERROR(VLOOKUP(A13,'マスタ'!$A:$F,5,FALSE),0))</f>
        <v/>
      </c>
      <c r="K13" s="15">
        <f>IF(A13="",0,ROUND(I13/160*1.25*H13,0))</f>
        <v/>
      </c>
      <c r="L13" s="15">
        <f>IF(A13="",0,IFERROR(VLOOKUP(A13,'マスタ'!$A:$F,6,FALSE),0))</f>
        <v/>
      </c>
      <c r="M13" s="16" t="n"/>
      <c r="N13" s="17">
        <f>SUM(I13:M13)</f>
        <v/>
      </c>
      <c r="O13" s="16" t="n"/>
      <c r="P13" s="16" t="n"/>
      <c r="Q13" s="16" t="n"/>
      <c r="R13" s="16" t="n"/>
      <c r="S13" s="16" t="n"/>
      <c r="T13" s="16" t="n"/>
      <c r="U13" s="17">
        <f>SUM(O13:T13)</f>
        <v/>
      </c>
      <c r="V13" s="17">
        <f>N13-U13</f>
        <v/>
      </c>
    </row>
    <row r="14" ht="18" customHeight="1">
      <c r="A14" s="2" t="n"/>
      <c r="B14" s="14">
        <f>IF(A14="","",IFERROR(VLOOKUP(A14,'マスタ'!$A:$F,2,FALSE),""))</f>
        <v/>
      </c>
      <c r="C14" s="14">
        <f>IF(A14="","",IFERROR(VLOOKUP(A14,'マスタ'!$A:$F,3,FALSE),""))</f>
        <v/>
      </c>
      <c r="D14" s="2" t="n"/>
      <c r="E14" s="2" t="n"/>
      <c r="F14" s="2" t="n"/>
      <c r="G14" s="2" t="n"/>
      <c r="H14" s="2" t="n"/>
      <c r="I14" s="15">
        <f>IF(A14="",0,IFERROR(VLOOKUP(A14,'マスタ'!$A:$F,4,FALSE),0))</f>
        <v/>
      </c>
      <c r="J14" s="15">
        <f>IF(A14="",0,IFERROR(VLOOKUP(A14,'マスタ'!$A:$F,5,FALSE),0))</f>
        <v/>
      </c>
      <c r="K14" s="15">
        <f>IF(A14="",0,ROUND(I14/160*1.25*H14,0))</f>
        <v/>
      </c>
      <c r="L14" s="15">
        <f>IF(A14="",0,IFERROR(VLOOKUP(A14,'マスタ'!$A:$F,6,FALSE),0))</f>
        <v/>
      </c>
      <c r="M14" s="16" t="n"/>
      <c r="N14" s="17">
        <f>SUM(I14:M14)</f>
        <v/>
      </c>
      <c r="O14" s="16" t="n"/>
      <c r="P14" s="16" t="n"/>
      <c r="Q14" s="16" t="n"/>
      <c r="R14" s="16" t="n"/>
      <c r="S14" s="16" t="n"/>
      <c r="T14" s="16" t="n"/>
      <c r="U14" s="17">
        <f>SUM(O14:T14)</f>
        <v/>
      </c>
      <c r="V14" s="17">
        <f>N14-U14</f>
        <v/>
      </c>
    </row>
    <row r="15" ht="18" customHeight="1">
      <c r="A15" s="18" t="inlineStr">
        <is>
          <t>合　計</t>
        </is>
      </c>
      <c r="D15" s="19">
        <f>SUM(D5:D14)</f>
        <v/>
      </c>
      <c r="E15" s="19">
        <f>SUM(E5:E14)</f>
        <v/>
      </c>
      <c r="F15" s="19">
        <f>SUM(F5:F14)</f>
        <v/>
      </c>
      <c r="G15" s="19">
        <f>SUM(G5:G14)</f>
        <v/>
      </c>
      <c r="H15" s="19">
        <f>SUM(H5:H14)</f>
        <v/>
      </c>
      <c r="I15" s="17">
        <f>SUM(I5:I14)</f>
        <v/>
      </c>
      <c r="J15" s="17">
        <f>SUM(J5:J14)</f>
        <v/>
      </c>
      <c r="K15" s="17">
        <f>SUM(K5:K14)</f>
        <v/>
      </c>
      <c r="L15" s="17">
        <f>SUM(L5:L14)</f>
        <v/>
      </c>
      <c r="M15" s="17">
        <f>SUM(M5:M14)</f>
        <v/>
      </c>
      <c r="N15" s="17">
        <f>SUM(N5:N14)</f>
        <v/>
      </c>
      <c r="O15" s="17">
        <f>SUM(O5:O14)</f>
        <v/>
      </c>
      <c r="P15" s="17">
        <f>SUM(P5:P14)</f>
        <v/>
      </c>
      <c r="Q15" s="17">
        <f>SUM(Q5:Q14)</f>
        <v/>
      </c>
      <c r="R15" s="17">
        <f>SUM(R5:R14)</f>
        <v/>
      </c>
      <c r="S15" s="17">
        <f>SUM(S5:S14)</f>
        <v/>
      </c>
      <c r="T15" s="17">
        <f>SUM(T5:T14)</f>
        <v/>
      </c>
      <c r="U15" s="17">
        <f>SUM(U5:U14)</f>
        <v/>
      </c>
      <c r="V15" s="17">
        <f>SUM(V5:V14)</f>
        <v/>
      </c>
    </row>
  </sheetData>
  <mergeCells count="8">
    <mergeCell ref="A1:V1"/>
    <mergeCell ref="L2:V2"/>
    <mergeCell ref="A2:K2"/>
    <mergeCell ref="O3:U3"/>
    <mergeCell ref="A3:C3"/>
    <mergeCell ref="I3:N3"/>
    <mergeCell ref="A15:C15"/>
    <mergeCell ref="D3:H3"/>
  </mergeCells>
  <pageMargins left="0.5" right="0.5" top="0.75" bottom="0.75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12" customWidth="1" min="22" max="22"/>
  </cols>
  <sheetData>
    <row r="1" ht="26" customHeight="1">
      <c r="A1" s="6" t="inlineStr">
        <is>
          <t>給与台帳　11月分</t>
        </is>
      </c>
    </row>
    <row r="2" ht="18" customHeight="1">
      <c r="A2" s="7" t="inlineStr">
        <is>
          <t>会社名：株式会社サンプル</t>
        </is>
      </c>
      <c r="L2" s="8" t="inlineStr">
        <is>
          <t>作成日：2026年11月</t>
        </is>
      </c>
    </row>
    <row r="3" ht="30" customHeight="1">
      <c r="A3" s="1" t="inlineStr">
        <is>
          <t>基本情報</t>
        </is>
      </c>
      <c r="D3" s="1" t="inlineStr">
        <is>
          <t>勤　怠　情　報</t>
        </is>
      </c>
      <c r="I3" s="9" t="inlineStr">
        <is>
          <t>支　　給　　項　　目</t>
        </is>
      </c>
      <c r="O3" s="10" t="inlineStr">
        <is>
          <t>控　　除　　項　　目</t>
        </is>
      </c>
      <c r="V3" s="11" t="inlineStr">
        <is>
          <t>差引
支給額</t>
        </is>
      </c>
    </row>
    <row r="4" ht="30" customHeight="1">
      <c r="A4" s="12" t="inlineStr">
        <is>
          <t>従業員
番号</t>
        </is>
      </c>
      <c r="B4" s="12" t="inlineStr">
        <is>
          <t>氏名</t>
        </is>
      </c>
      <c r="C4" s="12" t="inlineStr">
        <is>
          <t>所属</t>
        </is>
      </c>
      <c r="D4" s="12" t="inlineStr">
        <is>
          <t>所定
労働日数</t>
        </is>
      </c>
      <c r="E4" s="12" t="inlineStr">
        <is>
          <t>出勤
日数</t>
        </is>
      </c>
      <c r="F4" s="12" t="inlineStr">
        <is>
          <t>欠勤
日数</t>
        </is>
      </c>
      <c r="G4" s="12" t="inlineStr">
        <is>
          <t>有給
取得日数</t>
        </is>
      </c>
      <c r="H4" s="12" t="inlineStr">
        <is>
          <t>残業
時間</t>
        </is>
      </c>
      <c r="I4" s="12" t="inlineStr">
        <is>
          <t>基本給</t>
        </is>
      </c>
      <c r="J4" s="12" t="inlineStr">
        <is>
          <t>役職
手当</t>
        </is>
      </c>
      <c r="K4" s="12" t="inlineStr">
        <is>
          <t>残業
手当</t>
        </is>
      </c>
      <c r="L4" s="12" t="inlineStr">
        <is>
          <t>通勤
手当</t>
        </is>
      </c>
      <c r="M4" s="12" t="inlineStr">
        <is>
          <t>その他
手当</t>
        </is>
      </c>
      <c r="N4" s="11" t="inlineStr">
        <is>
          <t>支給
合計</t>
        </is>
      </c>
      <c r="O4" s="12" t="inlineStr">
        <is>
          <t>健康
保険</t>
        </is>
      </c>
      <c r="P4" s="12" t="inlineStr">
        <is>
          <t>厚生
年金</t>
        </is>
      </c>
      <c r="Q4" s="12" t="inlineStr">
        <is>
          <t>雇用
保険</t>
        </is>
      </c>
      <c r="R4" s="12" t="inlineStr">
        <is>
          <t>所得税</t>
        </is>
      </c>
      <c r="S4" s="12" t="inlineStr">
        <is>
          <t>住民税</t>
        </is>
      </c>
      <c r="T4" s="12" t="inlineStr">
        <is>
          <t>その他
控除</t>
        </is>
      </c>
      <c r="U4" s="11" t="inlineStr">
        <is>
          <t>控除
合計</t>
        </is>
      </c>
      <c r="V4" s="11" t="inlineStr">
        <is>
          <t>差引
支給額</t>
        </is>
      </c>
    </row>
    <row r="5" ht="18" customHeight="1">
      <c r="A5" s="13" t="inlineStr">
        <is>
          <t>001</t>
        </is>
      </c>
      <c r="B5" s="14">
        <f>IF(A5="","",IFERROR(VLOOKUP(A5,'マスタ'!$A:$F,2,FALSE),""))</f>
        <v/>
      </c>
      <c r="C5" s="14">
        <f>IF(A5="","",IFERROR(VLOOKUP(A5,'マスタ'!$A:$F,3,FALSE),""))</f>
        <v/>
      </c>
      <c r="D5" s="2" t="n">
        <v>20</v>
      </c>
      <c r="E5" s="2" t="n">
        <v>20</v>
      </c>
      <c r="F5" s="2" t="n">
        <v>0</v>
      </c>
      <c r="G5" s="2" t="n">
        <v>0</v>
      </c>
      <c r="H5" s="2" t="n">
        <v>10</v>
      </c>
      <c r="I5" s="15">
        <f>IF(A5="",0,IFERROR(VLOOKUP(A5,'マスタ'!$A:$F,4,FALSE),0))</f>
        <v/>
      </c>
      <c r="J5" s="15">
        <f>IF(A5="",0,IFERROR(VLOOKUP(A5,'マスタ'!$A:$F,5,FALSE),0))</f>
        <v/>
      </c>
      <c r="K5" s="15">
        <f>IF(A5="",0,ROUND(I5/160*1.25*H5,0))</f>
        <v/>
      </c>
      <c r="L5" s="15">
        <f>IF(A5="",0,IFERROR(VLOOKUP(A5,'マスタ'!$A:$F,6,FALSE),0))</f>
        <v/>
      </c>
      <c r="M5" s="16" t="n">
        <v>0</v>
      </c>
      <c r="N5" s="17">
        <f>SUM(I5:M5)</f>
        <v/>
      </c>
      <c r="O5" s="16" t="n">
        <v>17500</v>
      </c>
      <c r="P5" s="16" t="n">
        <v>32490</v>
      </c>
      <c r="Q5" s="16" t="n">
        <v>2100</v>
      </c>
      <c r="R5" s="16" t="n">
        <v>8500</v>
      </c>
      <c r="S5" s="16" t="n">
        <v>12000</v>
      </c>
      <c r="T5" s="16" t="n">
        <v>0</v>
      </c>
      <c r="U5" s="17">
        <f>SUM(O5:T5)</f>
        <v/>
      </c>
      <c r="V5" s="17">
        <f>N5-U5</f>
        <v/>
      </c>
    </row>
    <row r="6" ht="18" customHeight="1">
      <c r="A6" s="13" t="inlineStr">
        <is>
          <t>002</t>
        </is>
      </c>
      <c r="B6" s="14">
        <f>IF(A6="","",IFERROR(VLOOKUP(A6,'マスタ'!$A:$F,2,FALSE),""))</f>
        <v/>
      </c>
      <c r="C6" s="14">
        <f>IF(A6="","",IFERROR(VLOOKUP(A6,'マスタ'!$A:$F,3,FALSE),""))</f>
        <v/>
      </c>
      <c r="D6" s="2" t="n">
        <v>20</v>
      </c>
      <c r="E6" s="2" t="n">
        <v>19</v>
      </c>
      <c r="F6" s="2" t="n">
        <v>1</v>
      </c>
      <c r="G6" s="2" t="n">
        <v>1</v>
      </c>
      <c r="H6" s="2" t="n">
        <v>5</v>
      </c>
      <c r="I6" s="15">
        <f>IF(A6="",0,IFERROR(VLOOKUP(A6,'マスタ'!$A:$F,4,FALSE),0))</f>
        <v/>
      </c>
      <c r="J6" s="15">
        <f>IF(A6="",0,IFERROR(VLOOKUP(A6,'マスタ'!$A:$F,5,FALSE),0))</f>
        <v/>
      </c>
      <c r="K6" s="15">
        <f>IF(A6="",0,ROUND(I6/160*1.25*H6,0))</f>
        <v/>
      </c>
      <c r="L6" s="15">
        <f>IF(A6="",0,IFERROR(VLOOKUP(A6,'マスタ'!$A:$F,6,FALSE),0))</f>
        <v/>
      </c>
      <c r="M6" s="16" t="n">
        <v>0</v>
      </c>
      <c r="N6" s="17">
        <f>SUM(I6:M6)</f>
        <v/>
      </c>
      <c r="O6" s="16" t="n">
        <v>14000</v>
      </c>
      <c r="P6" s="16" t="n">
        <v>25990</v>
      </c>
      <c r="Q6" s="16" t="n">
        <v>1680</v>
      </c>
      <c r="R6" s="16" t="n">
        <v>5500</v>
      </c>
      <c r="S6" s="16" t="n">
        <v>9000</v>
      </c>
      <c r="T6" s="16" t="n">
        <v>0</v>
      </c>
      <c r="U6" s="17">
        <f>SUM(O6:T6)</f>
        <v/>
      </c>
      <c r="V6" s="17">
        <f>N6-U6</f>
        <v/>
      </c>
    </row>
    <row r="7" ht="18" customHeight="1">
      <c r="A7" s="13" t="inlineStr">
        <is>
          <t>003</t>
        </is>
      </c>
      <c r="B7" s="14">
        <f>IF(A7="","",IFERROR(VLOOKUP(A7,'マスタ'!$A:$F,2,FALSE),""))</f>
        <v/>
      </c>
      <c r="C7" s="14">
        <f>IF(A7="","",IFERROR(VLOOKUP(A7,'マスタ'!$A:$F,3,FALSE),""))</f>
        <v/>
      </c>
      <c r="D7" s="2" t="n">
        <v>20</v>
      </c>
      <c r="E7" s="2" t="n">
        <v>20</v>
      </c>
      <c r="F7" s="2" t="n">
        <v>0</v>
      </c>
      <c r="G7" s="2" t="n">
        <v>2</v>
      </c>
      <c r="H7" s="2" t="n">
        <v>15</v>
      </c>
      <c r="I7" s="15">
        <f>IF(A7="",0,IFERROR(VLOOKUP(A7,'マスタ'!$A:$F,4,FALSE),0))</f>
        <v/>
      </c>
      <c r="J7" s="15">
        <f>IF(A7="",0,IFERROR(VLOOKUP(A7,'マスタ'!$A:$F,5,FALSE),0))</f>
        <v/>
      </c>
      <c r="K7" s="15">
        <f>IF(A7="",0,ROUND(I7/160*1.25*H7,0))</f>
        <v/>
      </c>
      <c r="L7" s="15">
        <f>IF(A7="",0,IFERROR(VLOOKUP(A7,'マスタ'!$A:$F,6,FALSE),0))</f>
        <v/>
      </c>
      <c r="M7" s="16" t="n">
        <v>0</v>
      </c>
      <c r="N7" s="17">
        <f>SUM(I7:M7)</f>
        <v/>
      </c>
      <c r="O7" s="16" t="n">
        <v>16000</v>
      </c>
      <c r="P7" s="16" t="n">
        <v>29730</v>
      </c>
      <c r="Q7" s="16" t="n">
        <v>1920</v>
      </c>
      <c r="R7" s="16" t="n">
        <v>7000</v>
      </c>
      <c r="S7" s="16" t="n">
        <v>10500</v>
      </c>
      <c r="T7" s="16" t="n">
        <v>0</v>
      </c>
      <c r="U7" s="17">
        <f>SUM(O7:T7)</f>
        <v/>
      </c>
      <c r="V7" s="17">
        <f>N7-U7</f>
        <v/>
      </c>
    </row>
    <row r="8" ht="18" customHeight="1">
      <c r="A8" s="2" t="n"/>
      <c r="B8" s="14">
        <f>IF(A8="","",IFERROR(VLOOKUP(A8,'マスタ'!$A:$F,2,FALSE),""))</f>
        <v/>
      </c>
      <c r="C8" s="14">
        <f>IF(A8="","",IFERROR(VLOOKUP(A8,'マスタ'!$A:$F,3,FALSE),""))</f>
        <v/>
      </c>
      <c r="D8" s="2" t="n"/>
      <c r="E8" s="2" t="n"/>
      <c r="F8" s="2" t="n"/>
      <c r="G8" s="2" t="n"/>
      <c r="H8" s="2" t="n"/>
      <c r="I8" s="15">
        <f>IF(A8="",0,IFERROR(VLOOKUP(A8,'マスタ'!$A:$F,4,FALSE),0))</f>
        <v/>
      </c>
      <c r="J8" s="15">
        <f>IF(A8="",0,IFERROR(VLOOKUP(A8,'マスタ'!$A:$F,5,FALSE),0))</f>
        <v/>
      </c>
      <c r="K8" s="15">
        <f>IF(A8="",0,ROUND(I8/160*1.25*H8,0))</f>
        <v/>
      </c>
      <c r="L8" s="15">
        <f>IF(A8="",0,IFERROR(VLOOKUP(A8,'マスタ'!$A:$F,6,FALSE),0))</f>
        <v/>
      </c>
      <c r="M8" s="16" t="n"/>
      <c r="N8" s="17">
        <f>SUM(I8:M8)</f>
        <v/>
      </c>
      <c r="O8" s="16" t="n"/>
      <c r="P8" s="16" t="n"/>
      <c r="Q8" s="16" t="n"/>
      <c r="R8" s="16" t="n"/>
      <c r="S8" s="16" t="n"/>
      <c r="T8" s="16" t="n"/>
      <c r="U8" s="17">
        <f>SUM(O8:T8)</f>
        <v/>
      </c>
      <c r="V8" s="17">
        <f>N8-U8</f>
        <v/>
      </c>
    </row>
    <row r="9" ht="18" customHeight="1">
      <c r="A9" s="2" t="n"/>
      <c r="B9" s="14">
        <f>IF(A9="","",IFERROR(VLOOKUP(A9,'マスタ'!$A:$F,2,FALSE),""))</f>
        <v/>
      </c>
      <c r="C9" s="14">
        <f>IF(A9="","",IFERROR(VLOOKUP(A9,'マスタ'!$A:$F,3,FALSE),""))</f>
        <v/>
      </c>
      <c r="D9" s="2" t="n"/>
      <c r="E9" s="2" t="n"/>
      <c r="F9" s="2" t="n"/>
      <c r="G9" s="2" t="n"/>
      <c r="H9" s="2" t="n"/>
      <c r="I9" s="15">
        <f>IF(A9="",0,IFERROR(VLOOKUP(A9,'マスタ'!$A:$F,4,FALSE),0))</f>
        <v/>
      </c>
      <c r="J9" s="15">
        <f>IF(A9="",0,IFERROR(VLOOKUP(A9,'マスタ'!$A:$F,5,FALSE),0))</f>
        <v/>
      </c>
      <c r="K9" s="15">
        <f>IF(A9="",0,ROUND(I9/160*1.25*H9,0))</f>
        <v/>
      </c>
      <c r="L9" s="15">
        <f>IF(A9="",0,IFERROR(VLOOKUP(A9,'マスタ'!$A:$F,6,FALSE),0))</f>
        <v/>
      </c>
      <c r="M9" s="16" t="n"/>
      <c r="N9" s="17">
        <f>SUM(I9:M9)</f>
        <v/>
      </c>
      <c r="O9" s="16" t="n"/>
      <c r="P9" s="16" t="n"/>
      <c r="Q9" s="16" t="n"/>
      <c r="R9" s="16" t="n"/>
      <c r="S9" s="16" t="n"/>
      <c r="T9" s="16" t="n"/>
      <c r="U9" s="17">
        <f>SUM(O9:T9)</f>
        <v/>
      </c>
      <c r="V9" s="17">
        <f>N9-U9</f>
        <v/>
      </c>
    </row>
    <row r="10" ht="18" customHeight="1">
      <c r="A10" s="2" t="n"/>
      <c r="B10" s="14">
        <f>IF(A10="","",IFERROR(VLOOKUP(A10,'マスタ'!$A:$F,2,FALSE),""))</f>
        <v/>
      </c>
      <c r="C10" s="14">
        <f>IF(A10="","",IFERROR(VLOOKUP(A10,'マスタ'!$A:$F,3,FALSE),""))</f>
        <v/>
      </c>
      <c r="D10" s="2" t="n"/>
      <c r="E10" s="2" t="n"/>
      <c r="F10" s="2" t="n"/>
      <c r="G10" s="2" t="n"/>
      <c r="H10" s="2" t="n"/>
      <c r="I10" s="15">
        <f>IF(A10="",0,IFERROR(VLOOKUP(A10,'マスタ'!$A:$F,4,FALSE),0))</f>
        <v/>
      </c>
      <c r="J10" s="15">
        <f>IF(A10="",0,IFERROR(VLOOKUP(A10,'マスタ'!$A:$F,5,FALSE),0))</f>
        <v/>
      </c>
      <c r="K10" s="15">
        <f>IF(A10="",0,ROUND(I10/160*1.25*H10,0))</f>
        <v/>
      </c>
      <c r="L10" s="15">
        <f>IF(A10="",0,IFERROR(VLOOKUP(A10,'マスタ'!$A:$F,6,FALSE),0))</f>
        <v/>
      </c>
      <c r="M10" s="16" t="n"/>
      <c r="N10" s="17">
        <f>SUM(I10:M10)</f>
        <v/>
      </c>
      <c r="O10" s="16" t="n"/>
      <c r="P10" s="16" t="n"/>
      <c r="Q10" s="16" t="n"/>
      <c r="R10" s="16" t="n"/>
      <c r="S10" s="16" t="n"/>
      <c r="T10" s="16" t="n"/>
      <c r="U10" s="17">
        <f>SUM(O10:T10)</f>
        <v/>
      </c>
      <c r="V10" s="17">
        <f>N10-U10</f>
        <v/>
      </c>
    </row>
    <row r="11" ht="18" customHeight="1">
      <c r="A11" s="2" t="n"/>
      <c r="B11" s="14">
        <f>IF(A11="","",IFERROR(VLOOKUP(A11,'マスタ'!$A:$F,2,FALSE),""))</f>
        <v/>
      </c>
      <c r="C11" s="14">
        <f>IF(A11="","",IFERROR(VLOOKUP(A11,'マスタ'!$A:$F,3,FALSE),""))</f>
        <v/>
      </c>
      <c r="D11" s="2" t="n"/>
      <c r="E11" s="2" t="n"/>
      <c r="F11" s="2" t="n"/>
      <c r="G11" s="2" t="n"/>
      <c r="H11" s="2" t="n"/>
      <c r="I11" s="15">
        <f>IF(A11="",0,IFERROR(VLOOKUP(A11,'マスタ'!$A:$F,4,FALSE),0))</f>
        <v/>
      </c>
      <c r="J11" s="15">
        <f>IF(A11="",0,IFERROR(VLOOKUP(A11,'マスタ'!$A:$F,5,FALSE),0))</f>
        <v/>
      </c>
      <c r="K11" s="15">
        <f>IF(A11="",0,ROUND(I11/160*1.25*H11,0))</f>
        <v/>
      </c>
      <c r="L11" s="15">
        <f>IF(A11="",0,IFERROR(VLOOKUP(A11,'マスタ'!$A:$F,6,FALSE),0))</f>
        <v/>
      </c>
      <c r="M11" s="16" t="n"/>
      <c r="N11" s="17">
        <f>SUM(I11:M11)</f>
        <v/>
      </c>
      <c r="O11" s="16" t="n"/>
      <c r="P11" s="16" t="n"/>
      <c r="Q11" s="16" t="n"/>
      <c r="R11" s="16" t="n"/>
      <c r="S11" s="16" t="n"/>
      <c r="T11" s="16" t="n"/>
      <c r="U11" s="17">
        <f>SUM(O11:T11)</f>
        <v/>
      </c>
      <c r="V11" s="17">
        <f>N11-U11</f>
        <v/>
      </c>
    </row>
    <row r="12" ht="18" customHeight="1">
      <c r="A12" s="2" t="n"/>
      <c r="B12" s="14">
        <f>IF(A12="","",IFERROR(VLOOKUP(A12,'マスタ'!$A:$F,2,FALSE),""))</f>
        <v/>
      </c>
      <c r="C12" s="14">
        <f>IF(A12="","",IFERROR(VLOOKUP(A12,'マスタ'!$A:$F,3,FALSE),""))</f>
        <v/>
      </c>
      <c r="D12" s="2" t="n"/>
      <c r="E12" s="2" t="n"/>
      <c r="F12" s="2" t="n"/>
      <c r="G12" s="2" t="n"/>
      <c r="H12" s="2" t="n"/>
      <c r="I12" s="15">
        <f>IF(A12="",0,IFERROR(VLOOKUP(A12,'マスタ'!$A:$F,4,FALSE),0))</f>
        <v/>
      </c>
      <c r="J12" s="15">
        <f>IF(A12="",0,IFERROR(VLOOKUP(A12,'マスタ'!$A:$F,5,FALSE),0))</f>
        <v/>
      </c>
      <c r="K12" s="15">
        <f>IF(A12="",0,ROUND(I12/160*1.25*H12,0))</f>
        <v/>
      </c>
      <c r="L12" s="15">
        <f>IF(A12="",0,IFERROR(VLOOKUP(A12,'マスタ'!$A:$F,6,FALSE),0))</f>
        <v/>
      </c>
      <c r="M12" s="16" t="n"/>
      <c r="N12" s="17">
        <f>SUM(I12:M12)</f>
        <v/>
      </c>
      <c r="O12" s="16" t="n"/>
      <c r="P12" s="16" t="n"/>
      <c r="Q12" s="16" t="n"/>
      <c r="R12" s="16" t="n"/>
      <c r="S12" s="16" t="n"/>
      <c r="T12" s="16" t="n"/>
      <c r="U12" s="17">
        <f>SUM(O12:T12)</f>
        <v/>
      </c>
      <c r="V12" s="17">
        <f>N12-U12</f>
        <v/>
      </c>
    </row>
    <row r="13" ht="18" customHeight="1">
      <c r="A13" s="2" t="n"/>
      <c r="B13" s="14">
        <f>IF(A13="","",IFERROR(VLOOKUP(A13,'マスタ'!$A:$F,2,FALSE),""))</f>
        <v/>
      </c>
      <c r="C13" s="14">
        <f>IF(A13="","",IFERROR(VLOOKUP(A13,'マスタ'!$A:$F,3,FALSE),""))</f>
        <v/>
      </c>
      <c r="D13" s="2" t="n"/>
      <c r="E13" s="2" t="n"/>
      <c r="F13" s="2" t="n"/>
      <c r="G13" s="2" t="n"/>
      <c r="H13" s="2" t="n"/>
      <c r="I13" s="15">
        <f>IF(A13="",0,IFERROR(VLOOKUP(A13,'マスタ'!$A:$F,4,FALSE),0))</f>
        <v/>
      </c>
      <c r="J13" s="15">
        <f>IF(A13="",0,IFERROR(VLOOKUP(A13,'マスタ'!$A:$F,5,FALSE),0))</f>
        <v/>
      </c>
      <c r="K13" s="15">
        <f>IF(A13="",0,ROUND(I13/160*1.25*H13,0))</f>
        <v/>
      </c>
      <c r="L13" s="15">
        <f>IF(A13="",0,IFERROR(VLOOKUP(A13,'マスタ'!$A:$F,6,FALSE),0))</f>
        <v/>
      </c>
      <c r="M13" s="16" t="n"/>
      <c r="N13" s="17">
        <f>SUM(I13:M13)</f>
        <v/>
      </c>
      <c r="O13" s="16" t="n"/>
      <c r="P13" s="16" t="n"/>
      <c r="Q13" s="16" t="n"/>
      <c r="R13" s="16" t="n"/>
      <c r="S13" s="16" t="n"/>
      <c r="T13" s="16" t="n"/>
      <c r="U13" s="17">
        <f>SUM(O13:T13)</f>
        <v/>
      </c>
      <c r="V13" s="17">
        <f>N13-U13</f>
        <v/>
      </c>
    </row>
    <row r="14" ht="18" customHeight="1">
      <c r="A14" s="2" t="n"/>
      <c r="B14" s="14">
        <f>IF(A14="","",IFERROR(VLOOKUP(A14,'マスタ'!$A:$F,2,FALSE),""))</f>
        <v/>
      </c>
      <c r="C14" s="14">
        <f>IF(A14="","",IFERROR(VLOOKUP(A14,'マスタ'!$A:$F,3,FALSE),""))</f>
        <v/>
      </c>
      <c r="D14" s="2" t="n"/>
      <c r="E14" s="2" t="n"/>
      <c r="F14" s="2" t="n"/>
      <c r="G14" s="2" t="n"/>
      <c r="H14" s="2" t="n"/>
      <c r="I14" s="15">
        <f>IF(A14="",0,IFERROR(VLOOKUP(A14,'マスタ'!$A:$F,4,FALSE),0))</f>
        <v/>
      </c>
      <c r="J14" s="15">
        <f>IF(A14="",0,IFERROR(VLOOKUP(A14,'マスタ'!$A:$F,5,FALSE),0))</f>
        <v/>
      </c>
      <c r="K14" s="15">
        <f>IF(A14="",0,ROUND(I14/160*1.25*H14,0))</f>
        <v/>
      </c>
      <c r="L14" s="15">
        <f>IF(A14="",0,IFERROR(VLOOKUP(A14,'マスタ'!$A:$F,6,FALSE),0))</f>
        <v/>
      </c>
      <c r="M14" s="16" t="n"/>
      <c r="N14" s="17">
        <f>SUM(I14:M14)</f>
        <v/>
      </c>
      <c r="O14" s="16" t="n"/>
      <c r="P14" s="16" t="n"/>
      <c r="Q14" s="16" t="n"/>
      <c r="R14" s="16" t="n"/>
      <c r="S14" s="16" t="n"/>
      <c r="T14" s="16" t="n"/>
      <c r="U14" s="17">
        <f>SUM(O14:T14)</f>
        <v/>
      </c>
      <c r="V14" s="17">
        <f>N14-U14</f>
        <v/>
      </c>
    </row>
    <row r="15" ht="18" customHeight="1">
      <c r="A15" s="18" t="inlineStr">
        <is>
          <t>合　計</t>
        </is>
      </c>
      <c r="D15" s="19">
        <f>SUM(D5:D14)</f>
        <v/>
      </c>
      <c r="E15" s="19">
        <f>SUM(E5:E14)</f>
        <v/>
      </c>
      <c r="F15" s="19">
        <f>SUM(F5:F14)</f>
        <v/>
      </c>
      <c r="G15" s="19">
        <f>SUM(G5:G14)</f>
        <v/>
      </c>
      <c r="H15" s="19">
        <f>SUM(H5:H14)</f>
        <v/>
      </c>
      <c r="I15" s="17">
        <f>SUM(I5:I14)</f>
        <v/>
      </c>
      <c r="J15" s="17">
        <f>SUM(J5:J14)</f>
        <v/>
      </c>
      <c r="K15" s="17">
        <f>SUM(K5:K14)</f>
        <v/>
      </c>
      <c r="L15" s="17">
        <f>SUM(L5:L14)</f>
        <v/>
      </c>
      <c r="M15" s="17">
        <f>SUM(M5:M14)</f>
        <v/>
      </c>
      <c r="N15" s="17">
        <f>SUM(N5:N14)</f>
        <v/>
      </c>
      <c r="O15" s="17">
        <f>SUM(O5:O14)</f>
        <v/>
      </c>
      <c r="P15" s="17">
        <f>SUM(P5:P14)</f>
        <v/>
      </c>
      <c r="Q15" s="17">
        <f>SUM(Q5:Q14)</f>
        <v/>
      </c>
      <c r="R15" s="17">
        <f>SUM(R5:R14)</f>
        <v/>
      </c>
      <c r="S15" s="17">
        <f>SUM(S5:S14)</f>
        <v/>
      </c>
      <c r="T15" s="17">
        <f>SUM(T5:T14)</f>
        <v/>
      </c>
      <c r="U15" s="17">
        <f>SUM(U5:U14)</f>
        <v/>
      </c>
      <c r="V15" s="17">
        <f>SUM(V5:V14)</f>
        <v/>
      </c>
    </row>
  </sheetData>
  <mergeCells count="8">
    <mergeCell ref="A1:V1"/>
    <mergeCell ref="L2:V2"/>
    <mergeCell ref="A2:K2"/>
    <mergeCell ref="O3:U3"/>
    <mergeCell ref="A3:C3"/>
    <mergeCell ref="I3:N3"/>
    <mergeCell ref="A15:C15"/>
    <mergeCell ref="D3:H3"/>
  </mergeCells>
  <pageMargins left="0.5" right="0.5" top="0.75" bottom="0.75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V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12" customWidth="1" min="22" max="22"/>
  </cols>
  <sheetData>
    <row r="1" ht="26" customHeight="1">
      <c r="A1" s="6" t="inlineStr">
        <is>
          <t>給与台帳　12月分</t>
        </is>
      </c>
    </row>
    <row r="2" ht="18" customHeight="1">
      <c r="A2" s="7" t="inlineStr">
        <is>
          <t>会社名：株式会社サンプル</t>
        </is>
      </c>
      <c r="L2" s="8" t="inlineStr">
        <is>
          <t>作成日：2026年12月</t>
        </is>
      </c>
    </row>
    <row r="3" ht="30" customHeight="1">
      <c r="A3" s="1" t="inlineStr">
        <is>
          <t>基本情報</t>
        </is>
      </c>
      <c r="D3" s="1" t="inlineStr">
        <is>
          <t>勤　怠　情　報</t>
        </is>
      </c>
      <c r="I3" s="9" t="inlineStr">
        <is>
          <t>支　　給　　項　　目</t>
        </is>
      </c>
      <c r="O3" s="10" t="inlineStr">
        <is>
          <t>控　　除　　項　　目</t>
        </is>
      </c>
      <c r="V3" s="11" t="inlineStr">
        <is>
          <t>差引
支給額</t>
        </is>
      </c>
    </row>
    <row r="4" ht="30" customHeight="1">
      <c r="A4" s="12" t="inlineStr">
        <is>
          <t>従業員
番号</t>
        </is>
      </c>
      <c r="B4" s="12" t="inlineStr">
        <is>
          <t>氏名</t>
        </is>
      </c>
      <c r="C4" s="12" t="inlineStr">
        <is>
          <t>所属</t>
        </is>
      </c>
      <c r="D4" s="12" t="inlineStr">
        <is>
          <t>所定
労働日数</t>
        </is>
      </c>
      <c r="E4" s="12" t="inlineStr">
        <is>
          <t>出勤
日数</t>
        </is>
      </c>
      <c r="F4" s="12" t="inlineStr">
        <is>
          <t>欠勤
日数</t>
        </is>
      </c>
      <c r="G4" s="12" t="inlineStr">
        <is>
          <t>有給
取得日数</t>
        </is>
      </c>
      <c r="H4" s="12" t="inlineStr">
        <is>
          <t>残業
時間</t>
        </is>
      </c>
      <c r="I4" s="12" t="inlineStr">
        <is>
          <t>基本給</t>
        </is>
      </c>
      <c r="J4" s="12" t="inlineStr">
        <is>
          <t>役職
手当</t>
        </is>
      </c>
      <c r="K4" s="12" t="inlineStr">
        <is>
          <t>残業
手当</t>
        </is>
      </c>
      <c r="L4" s="12" t="inlineStr">
        <is>
          <t>通勤
手当</t>
        </is>
      </c>
      <c r="M4" s="12" t="inlineStr">
        <is>
          <t>その他
手当</t>
        </is>
      </c>
      <c r="N4" s="11" t="inlineStr">
        <is>
          <t>支給
合計</t>
        </is>
      </c>
      <c r="O4" s="12" t="inlineStr">
        <is>
          <t>健康
保険</t>
        </is>
      </c>
      <c r="P4" s="12" t="inlineStr">
        <is>
          <t>厚生
年金</t>
        </is>
      </c>
      <c r="Q4" s="12" t="inlineStr">
        <is>
          <t>雇用
保険</t>
        </is>
      </c>
      <c r="R4" s="12" t="inlineStr">
        <is>
          <t>所得税</t>
        </is>
      </c>
      <c r="S4" s="12" t="inlineStr">
        <is>
          <t>住民税</t>
        </is>
      </c>
      <c r="T4" s="12" t="inlineStr">
        <is>
          <t>その他
控除</t>
        </is>
      </c>
      <c r="U4" s="11" t="inlineStr">
        <is>
          <t>控除
合計</t>
        </is>
      </c>
      <c r="V4" s="11" t="inlineStr">
        <is>
          <t>差引
支給額</t>
        </is>
      </c>
    </row>
    <row r="5" ht="18" customHeight="1">
      <c r="A5" s="13" t="inlineStr">
        <is>
          <t>001</t>
        </is>
      </c>
      <c r="B5" s="14">
        <f>IF(A5="","",IFERROR(VLOOKUP(A5,'マスタ'!$A:$F,2,FALSE),""))</f>
        <v/>
      </c>
      <c r="C5" s="14">
        <f>IF(A5="","",IFERROR(VLOOKUP(A5,'マスタ'!$A:$F,3,FALSE),""))</f>
        <v/>
      </c>
      <c r="D5" s="2" t="n">
        <v>20</v>
      </c>
      <c r="E5" s="2" t="n">
        <v>20</v>
      </c>
      <c r="F5" s="2" t="n">
        <v>0</v>
      </c>
      <c r="G5" s="2" t="n">
        <v>0</v>
      </c>
      <c r="H5" s="2" t="n">
        <v>10</v>
      </c>
      <c r="I5" s="15">
        <f>IF(A5="",0,IFERROR(VLOOKUP(A5,'マスタ'!$A:$F,4,FALSE),0))</f>
        <v/>
      </c>
      <c r="J5" s="15">
        <f>IF(A5="",0,IFERROR(VLOOKUP(A5,'マスタ'!$A:$F,5,FALSE),0))</f>
        <v/>
      </c>
      <c r="K5" s="15">
        <f>IF(A5="",0,ROUND(I5/160*1.25*H5,0))</f>
        <v/>
      </c>
      <c r="L5" s="15">
        <f>IF(A5="",0,IFERROR(VLOOKUP(A5,'マスタ'!$A:$F,6,FALSE),0))</f>
        <v/>
      </c>
      <c r="M5" s="16" t="n">
        <v>0</v>
      </c>
      <c r="N5" s="17">
        <f>SUM(I5:M5)</f>
        <v/>
      </c>
      <c r="O5" s="16" t="n">
        <v>17500</v>
      </c>
      <c r="P5" s="16" t="n">
        <v>32490</v>
      </c>
      <c r="Q5" s="16" t="n">
        <v>2100</v>
      </c>
      <c r="R5" s="16" t="n">
        <v>8500</v>
      </c>
      <c r="S5" s="16" t="n">
        <v>12000</v>
      </c>
      <c r="T5" s="16" t="n">
        <v>0</v>
      </c>
      <c r="U5" s="17">
        <f>SUM(O5:T5)</f>
        <v/>
      </c>
      <c r="V5" s="17">
        <f>N5-U5</f>
        <v/>
      </c>
    </row>
    <row r="6" ht="18" customHeight="1">
      <c r="A6" s="13" t="inlineStr">
        <is>
          <t>002</t>
        </is>
      </c>
      <c r="B6" s="14">
        <f>IF(A6="","",IFERROR(VLOOKUP(A6,'マスタ'!$A:$F,2,FALSE),""))</f>
        <v/>
      </c>
      <c r="C6" s="14">
        <f>IF(A6="","",IFERROR(VLOOKUP(A6,'マスタ'!$A:$F,3,FALSE),""))</f>
        <v/>
      </c>
      <c r="D6" s="2" t="n">
        <v>20</v>
      </c>
      <c r="E6" s="2" t="n">
        <v>19</v>
      </c>
      <c r="F6" s="2" t="n">
        <v>1</v>
      </c>
      <c r="G6" s="2" t="n">
        <v>1</v>
      </c>
      <c r="H6" s="2" t="n">
        <v>5</v>
      </c>
      <c r="I6" s="15">
        <f>IF(A6="",0,IFERROR(VLOOKUP(A6,'マスタ'!$A:$F,4,FALSE),0))</f>
        <v/>
      </c>
      <c r="J6" s="15">
        <f>IF(A6="",0,IFERROR(VLOOKUP(A6,'マスタ'!$A:$F,5,FALSE),0))</f>
        <v/>
      </c>
      <c r="K6" s="15">
        <f>IF(A6="",0,ROUND(I6/160*1.25*H6,0))</f>
        <v/>
      </c>
      <c r="L6" s="15">
        <f>IF(A6="",0,IFERROR(VLOOKUP(A6,'マスタ'!$A:$F,6,FALSE),0))</f>
        <v/>
      </c>
      <c r="M6" s="16" t="n">
        <v>0</v>
      </c>
      <c r="N6" s="17">
        <f>SUM(I6:M6)</f>
        <v/>
      </c>
      <c r="O6" s="16" t="n">
        <v>14000</v>
      </c>
      <c r="P6" s="16" t="n">
        <v>25990</v>
      </c>
      <c r="Q6" s="16" t="n">
        <v>1680</v>
      </c>
      <c r="R6" s="16" t="n">
        <v>5500</v>
      </c>
      <c r="S6" s="16" t="n">
        <v>9000</v>
      </c>
      <c r="T6" s="16" t="n">
        <v>0</v>
      </c>
      <c r="U6" s="17">
        <f>SUM(O6:T6)</f>
        <v/>
      </c>
      <c r="V6" s="17">
        <f>N6-U6</f>
        <v/>
      </c>
    </row>
    <row r="7" ht="18" customHeight="1">
      <c r="A7" s="13" t="inlineStr">
        <is>
          <t>003</t>
        </is>
      </c>
      <c r="B7" s="14">
        <f>IF(A7="","",IFERROR(VLOOKUP(A7,'マスタ'!$A:$F,2,FALSE),""))</f>
        <v/>
      </c>
      <c r="C7" s="14">
        <f>IF(A7="","",IFERROR(VLOOKUP(A7,'マスタ'!$A:$F,3,FALSE),""))</f>
        <v/>
      </c>
      <c r="D7" s="2" t="n">
        <v>20</v>
      </c>
      <c r="E7" s="2" t="n">
        <v>20</v>
      </c>
      <c r="F7" s="2" t="n">
        <v>0</v>
      </c>
      <c r="G7" s="2" t="n">
        <v>2</v>
      </c>
      <c r="H7" s="2" t="n">
        <v>15</v>
      </c>
      <c r="I7" s="15">
        <f>IF(A7="",0,IFERROR(VLOOKUP(A7,'マスタ'!$A:$F,4,FALSE),0))</f>
        <v/>
      </c>
      <c r="J7" s="15">
        <f>IF(A7="",0,IFERROR(VLOOKUP(A7,'マスタ'!$A:$F,5,FALSE),0))</f>
        <v/>
      </c>
      <c r="K7" s="15">
        <f>IF(A7="",0,ROUND(I7/160*1.25*H7,0))</f>
        <v/>
      </c>
      <c r="L7" s="15">
        <f>IF(A7="",0,IFERROR(VLOOKUP(A7,'マスタ'!$A:$F,6,FALSE),0))</f>
        <v/>
      </c>
      <c r="M7" s="16" t="n">
        <v>0</v>
      </c>
      <c r="N7" s="17">
        <f>SUM(I7:M7)</f>
        <v/>
      </c>
      <c r="O7" s="16" t="n">
        <v>16000</v>
      </c>
      <c r="P7" s="16" t="n">
        <v>29730</v>
      </c>
      <c r="Q7" s="16" t="n">
        <v>1920</v>
      </c>
      <c r="R7" s="16" t="n">
        <v>7000</v>
      </c>
      <c r="S7" s="16" t="n">
        <v>10500</v>
      </c>
      <c r="T7" s="16" t="n">
        <v>0</v>
      </c>
      <c r="U7" s="17">
        <f>SUM(O7:T7)</f>
        <v/>
      </c>
      <c r="V7" s="17">
        <f>N7-U7</f>
        <v/>
      </c>
    </row>
    <row r="8" ht="18" customHeight="1">
      <c r="A8" s="2" t="n"/>
      <c r="B8" s="14">
        <f>IF(A8="","",IFERROR(VLOOKUP(A8,'マスタ'!$A:$F,2,FALSE),""))</f>
        <v/>
      </c>
      <c r="C8" s="14">
        <f>IF(A8="","",IFERROR(VLOOKUP(A8,'マスタ'!$A:$F,3,FALSE),""))</f>
        <v/>
      </c>
      <c r="D8" s="2" t="n"/>
      <c r="E8" s="2" t="n"/>
      <c r="F8" s="2" t="n"/>
      <c r="G8" s="2" t="n"/>
      <c r="H8" s="2" t="n"/>
      <c r="I8" s="15">
        <f>IF(A8="",0,IFERROR(VLOOKUP(A8,'マスタ'!$A:$F,4,FALSE),0))</f>
        <v/>
      </c>
      <c r="J8" s="15">
        <f>IF(A8="",0,IFERROR(VLOOKUP(A8,'マスタ'!$A:$F,5,FALSE),0))</f>
        <v/>
      </c>
      <c r="K8" s="15">
        <f>IF(A8="",0,ROUND(I8/160*1.25*H8,0))</f>
        <v/>
      </c>
      <c r="L8" s="15">
        <f>IF(A8="",0,IFERROR(VLOOKUP(A8,'マスタ'!$A:$F,6,FALSE),0))</f>
        <v/>
      </c>
      <c r="M8" s="16" t="n"/>
      <c r="N8" s="17">
        <f>SUM(I8:M8)</f>
        <v/>
      </c>
      <c r="O8" s="16" t="n"/>
      <c r="P8" s="16" t="n"/>
      <c r="Q8" s="16" t="n"/>
      <c r="R8" s="16" t="n"/>
      <c r="S8" s="16" t="n"/>
      <c r="T8" s="16" t="n"/>
      <c r="U8" s="17">
        <f>SUM(O8:T8)</f>
        <v/>
      </c>
      <c r="V8" s="17">
        <f>N8-U8</f>
        <v/>
      </c>
    </row>
    <row r="9" ht="18" customHeight="1">
      <c r="A9" s="2" t="n"/>
      <c r="B9" s="14">
        <f>IF(A9="","",IFERROR(VLOOKUP(A9,'マスタ'!$A:$F,2,FALSE),""))</f>
        <v/>
      </c>
      <c r="C9" s="14">
        <f>IF(A9="","",IFERROR(VLOOKUP(A9,'マスタ'!$A:$F,3,FALSE),""))</f>
        <v/>
      </c>
      <c r="D9" s="2" t="n"/>
      <c r="E9" s="2" t="n"/>
      <c r="F9" s="2" t="n"/>
      <c r="G9" s="2" t="n"/>
      <c r="H9" s="2" t="n"/>
      <c r="I9" s="15">
        <f>IF(A9="",0,IFERROR(VLOOKUP(A9,'マスタ'!$A:$F,4,FALSE),0))</f>
        <v/>
      </c>
      <c r="J9" s="15">
        <f>IF(A9="",0,IFERROR(VLOOKUP(A9,'マスタ'!$A:$F,5,FALSE),0))</f>
        <v/>
      </c>
      <c r="K9" s="15">
        <f>IF(A9="",0,ROUND(I9/160*1.25*H9,0))</f>
        <v/>
      </c>
      <c r="L9" s="15">
        <f>IF(A9="",0,IFERROR(VLOOKUP(A9,'マスタ'!$A:$F,6,FALSE),0))</f>
        <v/>
      </c>
      <c r="M9" s="16" t="n"/>
      <c r="N9" s="17">
        <f>SUM(I9:M9)</f>
        <v/>
      </c>
      <c r="O9" s="16" t="n"/>
      <c r="P9" s="16" t="n"/>
      <c r="Q9" s="16" t="n"/>
      <c r="R9" s="16" t="n"/>
      <c r="S9" s="16" t="n"/>
      <c r="T9" s="16" t="n"/>
      <c r="U9" s="17">
        <f>SUM(O9:T9)</f>
        <v/>
      </c>
      <c r="V9" s="17">
        <f>N9-U9</f>
        <v/>
      </c>
    </row>
    <row r="10" ht="18" customHeight="1">
      <c r="A10" s="2" t="n"/>
      <c r="B10" s="14">
        <f>IF(A10="","",IFERROR(VLOOKUP(A10,'マスタ'!$A:$F,2,FALSE),""))</f>
        <v/>
      </c>
      <c r="C10" s="14">
        <f>IF(A10="","",IFERROR(VLOOKUP(A10,'マスタ'!$A:$F,3,FALSE),""))</f>
        <v/>
      </c>
      <c r="D10" s="2" t="n"/>
      <c r="E10" s="2" t="n"/>
      <c r="F10" s="2" t="n"/>
      <c r="G10" s="2" t="n"/>
      <c r="H10" s="2" t="n"/>
      <c r="I10" s="15">
        <f>IF(A10="",0,IFERROR(VLOOKUP(A10,'マスタ'!$A:$F,4,FALSE),0))</f>
        <v/>
      </c>
      <c r="J10" s="15">
        <f>IF(A10="",0,IFERROR(VLOOKUP(A10,'マスタ'!$A:$F,5,FALSE),0))</f>
        <v/>
      </c>
      <c r="K10" s="15">
        <f>IF(A10="",0,ROUND(I10/160*1.25*H10,0))</f>
        <v/>
      </c>
      <c r="L10" s="15">
        <f>IF(A10="",0,IFERROR(VLOOKUP(A10,'マスタ'!$A:$F,6,FALSE),0))</f>
        <v/>
      </c>
      <c r="M10" s="16" t="n"/>
      <c r="N10" s="17">
        <f>SUM(I10:M10)</f>
        <v/>
      </c>
      <c r="O10" s="16" t="n"/>
      <c r="P10" s="16" t="n"/>
      <c r="Q10" s="16" t="n"/>
      <c r="R10" s="16" t="n"/>
      <c r="S10" s="16" t="n"/>
      <c r="T10" s="16" t="n"/>
      <c r="U10" s="17">
        <f>SUM(O10:T10)</f>
        <v/>
      </c>
      <c r="V10" s="17">
        <f>N10-U10</f>
        <v/>
      </c>
    </row>
    <row r="11" ht="18" customHeight="1">
      <c r="A11" s="2" t="n"/>
      <c r="B11" s="14">
        <f>IF(A11="","",IFERROR(VLOOKUP(A11,'マスタ'!$A:$F,2,FALSE),""))</f>
        <v/>
      </c>
      <c r="C11" s="14">
        <f>IF(A11="","",IFERROR(VLOOKUP(A11,'マスタ'!$A:$F,3,FALSE),""))</f>
        <v/>
      </c>
      <c r="D11" s="2" t="n"/>
      <c r="E11" s="2" t="n"/>
      <c r="F11" s="2" t="n"/>
      <c r="G11" s="2" t="n"/>
      <c r="H11" s="2" t="n"/>
      <c r="I11" s="15">
        <f>IF(A11="",0,IFERROR(VLOOKUP(A11,'マスタ'!$A:$F,4,FALSE),0))</f>
        <v/>
      </c>
      <c r="J11" s="15">
        <f>IF(A11="",0,IFERROR(VLOOKUP(A11,'マスタ'!$A:$F,5,FALSE),0))</f>
        <v/>
      </c>
      <c r="K11" s="15">
        <f>IF(A11="",0,ROUND(I11/160*1.25*H11,0))</f>
        <v/>
      </c>
      <c r="L11" s="15">
        <f>IF(A11="",0,IFERROR(VLOOKUP(A11,'マスタ'!$A:$F,6,FALSE),0))</f>
        <v/>
      </c>
      <c r="M11" s="16" t="n"/>
      <c r="N11" s="17">
        <f>SUM(I11:M11)</f>
        <v/>
      </c>
      <c r="O11" s="16" t="n"/>
      <c r="P11" s="16" t="n"/>
      <c r="Q11" s="16" t="n"/>
      <c r="R11" s="16" t="n"/>
      <c r="S11" s="16" t="n"/>
      <c r="T11" s="16" t="n"/>
      <c r="U11" s="17">
        <f>SUM(O11:T11)</f>
        <v/>
      </c>
      <c r="V11" s="17">
        <f>N11-U11</f>
        <v/>
      </c>
    </row>
    <row r="12" ht="18" customHeight="1">
      <c r="A12" s="2" t="n"/>
      <c r="B12" s="14">
        <f>IF(A12="","",IFERROR(VLOOKUP(A12,'マスタ'!$A:$F,2,FALSE),""))</f>
        <v/>
      </c>
      <c r="C12" s="14">
        <f>IF(A12="","",IFERROR(VLOOKUP(A12,'マスタ'!$A:$F,3,FALSE),""))</f>
        <v/>
      </c>
      <c r="D12" s="2" t="n"/>
      <c r="E12" s="2" t="n"/>
      <c r="F12" s="2" t="n"/>
      <c r="G12" s="2" t="n"/>
      <c r="H12" s="2" t="n"/>
      <c r="I12" s="15">
        <f>IF(A12="",0,IFERROR(VLOOKUP(A12,'マスタ'!$A:$F,4,FALSE),0))</f>
        <v/>
      </c>
      <c r="J12" s="15">
        <f>IF(A12="",0,IFERROR(VLOOKUP(A12,'マスタ'!$A:$F,5,FALSE),0))</f>
        <v/>
      </c>
      <c r="K12" s="15">
        <f>IF(A12="",0,ROUND(I12/160*1.25*H12,0))</f>
        <v/>
      </c>
      <c r="L12" s="15">
        <f>IF(A12="",0,IFERROR(VLOOKUP(A12,'マスタ'!$A:$F,6,FALSE),0))</f>
        <v/>
      </c>
      <c r="M12" s="16" t="n"/>
      <c r="N12" s="17">
        <f>SUM(I12:M12)</f>
        <v/>
      </c>
      <c r="O12" s="16" t="n"/>
      <c r="P12" s="16" t="n"/>
      <c r="Q12" s="16" t="n"/>
      <c r="R12" s="16" t="n"/>
      <c r="S12" s="16" t="n"/>
      <c r="T12" s="16" t="n"/>
      <c r="U12" s="17">
        <f>SUM(O12:T12)</f>
        <v/>
      </c>
      <c r="V12" s="17">
        <f>N12-U12</f>
        <v/>
      </c>
    </row>
    <row r="13" ht="18" customHeight="1">
      <c r="A13" s="2" t="n"/>
      <c r="B13" s="14">
        <f>IF(A13="","",IFERROR(VLOOKUP(A13,'マスタ'!$A:$F,2,FALSE),""))</f>
        <v/>
      </c>
      <c r="C13" s="14">
        <f>IF(A13="","",IFERROR(VLOOKUP(A13,'マスタ'!$A:$F,3,FALSE),""))</f>
        <v/>
      </c>
      <c r="D13" s="2" t="n"/>
      <c r="E13" s="2" t="n"/>
      <c r="F13" s="2" t="n"/>
      <c r="G13" s="2" t="n"/>
      <c r="H13" s="2" t="n"/>
      <c r="I13" s="15">
        <f>IF(A13="",0,IFERROR(VLOOKUP(A13,'マスタ'!$A:$F,4,FALSE),0))</f>
        <v/>
      </c>
      <c r="J13" s="15">
        <f>IF(A13="",0,IFERROR(VLOOKUP(A13,'マスタ'!$A:$F,5,FALSE),0))</f>
        <v/>
      </c>
      <c r="K13" s="15">
        <f>IF(A13="",0,ROUND(I13/160*1.25*H13,0))</f>
        <v/>
      </c>
      <c r="L13" s="15">
        <f>IF(A13="",0,IFERROR(VLOOKUP(A13,'マスタ'!$A:$F,6,FALSE),0))</f>
        <v/>
      </c>
      <c r="M13" s="16" t="n"/>
      <c r="N13" s="17">
        <f>SUM(I13:M13)</f>
        <v/>
      </c>
      <c r="O13" s="16" t="n"/>
      <c r="P13" s="16" t="n"/>
      <c r="Q13" s="16" t="n"/>
      <c r="R13" s="16" t="n"/>
      <c r="S13" s="16" t="n"/>
      <c r="T13" s="16" t="n"/>
      <c r="U13" s="17">
        <f>SUM(O13:T13)</f>
        <v/>
      </c>
      <c r="V13" s="17">
        <f>N13-U13</f>
        <v/>
      </c>
    </row>
    <row r="14" ht="18" customHeight="1">
      <c r="A14" s="2" t="n"/>
      <c r="B14" s="14">
        <f>IF(A14="","",IFERROR(VLOOKUP(A14,'マスタ'!$A:$F,2,FALSE),""))</f>
        <v/>
      </c>
      <c r="C14" s="14">
        <f>IF(A14="","",IFERROR(VLOOKUP(A14,'マスタ'!$A:$F,3,FALSE),""))</f>
        <v/>
      </c>
      <c r="D14" s="2" t="n"/>
      <c r="E14" s="2" t="n"/>
      <c r="F14" s="2" t="n"/>
      <c r="G14" s="2" t="n"/>
      <c r="H14" s="2" t="n"/>
      <c r="I14" s="15">
        <f>IF(A14="",0,IFERROR(VLOOKUP(A14,'マスタ'!$A:$F,4,FALSE),0))</f>
        <v/>
      </c>
      <c r="J14" s="15">
        <f>IF(A14="",0,IFERROR(VLOOKUP(A14,'マスタ'!$A:$F,5,FALSE),0))</f>
        <v/>
      </c>
      <c r="K14" s="15">
        <f>IF(A14="",0,ROUND(I14/160*1.25*H14,0))</f>
        <v/>
      </c>
      <c r="L14" s="15">
        <f>IF(A14="",0,IFERROR(VLOOKUP(A14,'マスタ'!$A:$F,6,FALSE),0))</f>
        <v/>
      </c>
      <c r="M14" s="16" t="n"/>
      <c r="N14" s="17">
        <f>SUM(I14:M14)</f>
        <v/>
      </c>
      <c r="O14" s="16" t="n"/>
      <c r="P14" s="16" t="n"/>
      <c r="Q14" s="16" t="n"/>
      <c r="R14" s="16" t="n"/>
      <c r="S14" s="16" t="n"/>
      <c r="T14" s="16" t="n"/>
      <c r="U14" s="17">
        <f>SUM(O14:T14)</f>
        <v/>
      </c>
      <c r="V14" s="17">
        <f>N14-U14</f>
        <v/>
      </c>
    </row>
    <row r="15" ht="18" customHeight="1">
      <c r="A15" s="18" t="inlineStr">
        <is>
          <t>合　計</t>
        </is>
      </c>
      <c r="D15" s="19">
        <f>SUM(D5:D14)</f>
        <v/>
      </c>
      <c r="E15" s="19">
        <f>SUM(E5:E14)</f>
        <v/>
      </c>
      <c r="F15" s="19">
        <f>SUM(F5:F14)</f>
        <v/>
      </c>
      <c r="G15" s="19">
        <f>SUM(G5:G14)</f>
        <v/>
      </c>
      <c r="H15" s="19">
        <f>SUM(H5:H14)</f>
        <v/>
      </c>
      <c r="I15" s="17">
        <f>SUM(I5:I14)</f>
        <v/>
      </c>
      <c r="J15" s="17">
        <f>SUM(J5:J14)</f>
        <v/>
      </c>
      <c r="K15" s="17">
        <f>SUM(K5:K14)</f>
        <v/>
      </c>
      <c r="L15" s="17">
        <f>SUM(L5:L14)</f>
        <v/>
      </c>
      <c r="M15" s="17">
        <f>SUM(M5:M14)</f>
        <v/>
      </c>
      <c r="N15" s="17">
        <f>SUM(N5:N14)</f>
        <v/>
      </c>
      <c r="O15" s="17">
        <f>SUM(O5:O14)</f>
        <v/>
      </c>
      <c r="P15" s="17">
        <f>SUM(P5:P14)</f>
        <v/>
      </c>
      <c r="Q15" s="17">
        <f>SUM(Q5:Q14)</f>
        <v/>
      </c>
      <c r="R15" s="17">
        <f>SUM(R5:R14)</f>
        <v/>
      </c>
      <c r="S15" s="17">
        <f>SUM(S5:S14)</f>
        <v/>
      </c>
      <c r="T15" s="17">
        <f>SUM(T5:T14)</f>
        <v/>
      </c>
      <c r="U15" s="17">
        <f>SUM(U5:U14)</f>
        <v/>
      </c>
      <c r="V15" s="17">
        <f>SUM(V5:V14)</f>
        <v/>
      </c>
    </row>
  </sheetData>
  <mergeCells count="8">
    <mergeCell ref="A1:V1"/>
    <mergeCell ref="L2:V2"/>
    <mergeCell ref="A2:K2"/>
    <mergeCell ref="O3:U3"/>
    <mergeCell ref="A3:C3"/>
    <mergeCell ref="I3:N3"/>
    <mergeCell ref="A15:C15"/>
    <mergeCell ref="D3:H3"/>
  </mergeCells>
  <pageMargins left="0.5" right="0.5" top="0.75" bottom="0.75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1" ht="30" customHeight="1">
      <c r="A1" s="20" t="inlineStr">
        <is>
          <t>年間給与累計一覧</t>
        </is>
      </c>
    </row>
    <row r="2" ht="18" customHeight="1">
      <c r="A2" s="21" t="inlineStr">
        <is>
          <t>会社名：株式会社サンプル</t>
        </is>
      </c>
    </row>
    <row r="3" ht="22" customHeight="1">
      <c r="A3" s="22" t="inlineStr">
        <is>
          <t>■ 支給合計　（単位：円）</t>
        </is>
      </c>
    </row>
    <row r="4" ht="20" customHeight="1">
      <c r="A4" s="1" t="inlineStr">
        <is>
          <t>従業員番号</t>
        </is>
      </c>
      <c r="B4" s="1" t="inlineStr">
        <is>
          <t>氏名</t>
        </is>
      </c>
      <c r="C4" s="1" t="inlineStr">
        <is>
          <t>所属</t>
        </is>
      </c>
      <c r="D4" s="1" t="inlineStr">
        <is>
          <t>1月</t>
        </is>
      </c>
      <c r="E4" s="1" t="inlineStr">
        <is>
          <t>2月</t>
        </is>
      </c>
      <c r="F4" s="1" t="inlineStr">
        <is>
          <t>3月</t>
        </is>
      </c>
      <c r="G4" s="1" t="inlineStr">
        <is>
          <t>4月</t>
        </is>
      </c>
      <c r="H4" s="1" t="inlineStr">
        <is>
          <t>5月</t>
        </is>
      </c>
      <c r="I4" s="1" t="inlineStr">
        <is>
          <t>6月</t>
        </is>
      </c>
      <c r="J4" s="1" t="inlineStr">
        <is>
          <t>7月</t>
        </is>
      </c>
      <c r="K4" s="1" t="inlineStr">
        <is>
          <t>8月</t>
        </is>
      </c>
      <c r="L4" s="1" t="inlineStr">
        <is>
          <t>9月</t>
        </is>
      </c>
      <c r="M4" s="1" t="inlineStr">
        <is>
          <t>10月</t>
        </is>
      </c>
      <c r="N4" s="1" t="inlineStr">
        <is>
          <t>11月</t>
        </is>
      </c>
      <c r="O4" s="1" t="inlineStr">
        <is>
          <t>12月</t>
        </is>
      </c>
      <c r="P4" s="18" t="inlineStr">
        <is>
          <t>年間合計</t>
        </is>
      </c>
    </row>
    <row r="5" ht="16" customHeight="1">
      <c r="A5" s="13" t="inlineStr">
        <is>
          <t>001</t>
        </is>
      </c>
      <c r="B5" s="23" t="inlineStr">
        <is>
          <t>山田 太郎</t>
        </is>
      </c>
      <c r="C5" s="23" t="inlineStr">
        <is>
          <t>営業部</t>
        </is>
      </c>
      <c r="D5" s="15">
        <f>IFERROR('1月'!N5,0)</f>
        <v/>
      </c>
      <c r="E5" s="15">
        <f>IFERROR('2月'!N5,0)</f>
        <v/>
      </c>
      <c r="F5" s="15">
        <f>IFERROR('3月'!N5,0)</f>
        <v/>
      </c>
      <c r="G5" s="15">
        <f>IFERROR('4月'!N5,0)</f>
        <v/>
      </c>
      <c r="H5" s="15">
        <f>IFERROR('5月'!N5,0)</f>
        <v/>
      </c>
      <c r="I5" s="15">
        <f>IFERROR('6月'!N5,0)</f>
        <v/>
      </c>
      <c r="J5" s="15">
        <f>IFERROR('7月'!N5,0)</f>
        <v/>
      </c>
      <c r="K5" s="15">
        <f>IFERROR('8月'!N5,0)</f>
        <v/>
      </c>
      <c r="L5" s="15">
        <f>IFERROR('9月'!N5,0)</f>
        <v/>
      </c>
      <c r="M5" s="15">
        <f>IFERROR('10月'!N5,0)</f>
        <v/>
      </c>
      <c r="N5" s="15">
        <f>IFERROR('11月'!N5,0)</f>
        <v/>
      </c>
      <c r="O5" s="15">
        <f>IFERROR('12月'!N5,0)</f>
        <v/>
      </c>
      <c r="P5" s="17">
        <f>IF(A5="","",SUM(D5:O5))</f>
        <v/>
      </c>
    </row>
    <row r="6" ht="16" customHeight="1">
      <c r="A6" s="13" t="inlineStr">
        <is>
          <t>002</t>
        </is>
      </c>
      <c r="B6" s="23" t="inlineStr">
        <is>
          <t>鈴木 花子</t>
        </is>
      </c>
      <c r="C6" s="23" t="inlineStr">
        <is>
          <t>経理部</t>
        </is>
      </c>
      <c r="D6" s="15">
        <f>IFERROR('1月'!N6,0)</f>
        <v/>
      </c>
      <c r="E6" s="15">
        <f>IFERROR('2月'!N6,0)</f>
        <v/>
      </c>
      <c r="F6" s="15">
        <f>IFERROR('3月'!N6,0)</f>
        <v/>
      </c>
      <c r="G6" s="15">
        <f>IFERROR('4月'!N6,0)</f>
        <v/>
      </c>
      <c r="H6" s="15">
        <f>IFERROR('5月'!N6,0)</f>
        <v/>
      </c>
      <c r="I6" s="15">
        <f>IFERROR('6月'!N6,0)</f>
        <v/>
      </c>
      <c r="J6" s="15">
        <f>IFERROR('7月'!N6,0)</f>
        <v/>
      </c>
      <c r="K6" s="15">
        <f>IFERROR('8月'!N6,0)</f>
        <v/>
      </c>
      <c r="L6" s="15">
        <f>IFERROR('9月'!N6,0)</f>
        <v/>
      </c>
      <c r="M6" s="15">
        <f>IFERROR('10月'!N6,0)</f>
        <v/>
      </c>
      <c r="N6" s="15">
        <f>IFERROR('11月'!N6,0)</f>
        <v/>
      </c>
      <c r="O6" s="15">
        <f>IFERROR('12月'!N6,0)</f>
        <v/>
      </c>
      <c r="P6" s="17">
        <f>IF(A6="","",SUM(D6:O6))</f>
        <v/>
      </c>
    </row>
    <row r="7" ht="16" customHeight="1">
      <c r="A7" s="13" t="inlineStr">
        <is>
          <t>003</t>
        </is>
      </c>
      <c r="B7" s="23" t="inlineStr">
        <is>
          <t>田中 一郎</t>
        </is>
      </c>
      <c r="C7" s="23" t="inlineStr">
        <is>
          <t>総務部</t>
        </is>
      </c>
      <c r="D7" s="15">
        <f>IFERROR('1月'!N7,0)</f>
        <v/>
      </c>
      <c r="E7" s="15">
        <f>IFERROR('2月'!N7,0)</f>
        <v/>
      </c>
      <c r="F7" s="15">
        <f>IFERROR('3月'!N7,0)</f>
        <v/>
      </c>
      <c r="G7" s="15">
        <f>IFERROR('4月'!N7,0)</f>
        <v/>
      </c>
      <c r="H7" s="15">
        <f>IFERROR('5月'!N7,0)</f>
        <v/>
      </c>
      <c r="I7" s="15">
        <f>IFERROR('6月'!N7,0)</f>
        <v/>
      </c>
      <c r="J7" s="15">
        <f>IFERROR('7月'!N7,0)</f>
        <v/>
      </c>
      <c r="K7" s="15">
        <f>IFERROR('8月'!N7,0)</f>
        <v/>
      </c>
      <c r="L7" s="15">
        <f>IFERROR('9月'!N7,0)</f>
        <v/>
      </c>
      <c r="M7" s="15">
        <f>IFERROR('10月'!N7,0)</f>
        <v/>
      </c>
      <c r="N7" s="15">
        <f>IFERROR('11月'!N7,0)</f>
        <v/>
      </c>
      <c r="O7" s="15">
        <f>IFERROR('12月'!N7,0)</f>
        <v/>
      </c>
      <c r="P7" s="17">
        <f>IF(A7="","",SUM(D7:O7))</f>
        <v/>
      </c>
    </row>
    <row r="8" ht="16" customHeight="1">
      <c r="A8" s="2" t="n"/>
      <c r="B8" s="23" t="n"/>
      <c r="C8" s="23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7">
        <f>IF(A8="","",SUM(D8:O8))</f>
        <v/>
      </c>
    </row>
    <row r="9" ht="16" customHeight="1">
      <c r="A9" s="2" t="n"/>
      <c r="B9" s="23" t="n"/>
      <c r="C9" s="23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7">
        <f>IF(A9="","",SUM(D9:O9))</f>
        <v/>
      </c>
    </row>
    <row r="10" ht="16" customHeight="1">
      <c r="A10" s="2" t="n"/>
      <c r="B10" s="23" t="n"/>
      <c r="C10" s="23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7">
        <f>IF(A10="","",SUM(D10:O10))</f>
        <v/>
      </c>
    </row>
    <row r="11" ht="16" customHeight="1">
      <c r="A11" s="2" t="n"/>
      <c r="B11" s="23" t="n"/>
      <c r="C11" s="23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7">
        <f>IF(A11="","",SUM(D11:O11))</f>
        <v/>
      </c>
    </row>
    <row r="12" ht="16" customHeight="1">
      <c r="A12" s="2" t="n"/>
      <c r="B12" s="23" t="n"/>
      <c r="C12" s="23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7">
        <f>IF(A12="","",SUM(D12:O12))</f>
        <v/>
      </c>
    </row>
    <row r="13" ht="16" customHeight="1">
      <c r="A13" s="2" t="n"/>
      <c r="B13" s="23" t="n"/>
      <c r="C13" s="23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7">
        <f>IF(A13="","",SUM(D13:O13))</f>
        <v/>
      </c>
    </row>
    <row r="14" ht="16" customHeight="1">
      <c r="A14" s="2" t="n"/>
      <c r="B14" s="23" t="n"/>
      <c r="C14" s="23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7">
        <f>IF(A14="","",SUM(D14:O14))</f>
        <v/>
      </c>
    </row>
    <row r="15" ht="18" customHeight="1">
      <c r="A15" s="18" t="inlineStr">
        <is>
          <t>合　計</t>
        </is>
      </c>
      <c r="D15" s="17">
        <f>SUM(D5:D14)</f>
        <v/>
      </c>
      <c r="E15" s="17">
        <f>SUM(E5:E14)</f>
        <v/>
      </c>
      <c r="F15" s="17">
        <f>SUM(F5:F14)</f>
        <v/>
      </c>
      <c r="G15" s="17">
        <f>SUM(G5:G14)</f>
        <v/>
      </c>
      <c r="H15" s="17">
        <f>SUM(H5:H14)</f>
        <v/>
      </c>
      <c r="I15" s="17">
        <f>SUM(I5:I14)</f>
        <v/>
      </c>
      <c r="J15" s="17">
        <f>SUM(J5:J14)</f>
        <v/>
      </c>
      <c r="K15" s="17">
        <f>SUM(K5:K14)</f>
        <v/>
      </c>
      <c r="L15" s="17">
        <f>SUM(L5:L14)</f>
        <v/>
      </c>
      <c r="M15" s="17">
        <f>SUM(M5:M14)</f>
        <v/>
      </c>
      <c r="N15" s="17">
        <f>SUM(N5:N14)</f>
        <v/>
      </c>
      <c r="O15" s="17">
        <f>SUM(O5:O14)</f>
        <v/>
      </c>
      <c r="P15" s="17">
        <f>SUM(P5:P14)</f>
        <v/>
      </c>
    </row>
    <row r="17" ht="22" customHeight="1">
      <c r="A17" s="24" t="inlineStr">
        <is>
          <t>■ 控除合計　（単位：円）</t>
        </is>
      </c>
    </row>
    <row r="18" ht="20" customHeight="1">
      <c r="A18" s="1" t="inlineStr">
        <is>
          <t>従業員番号</t>
        </is>
      </c>
      <c r="B18" s="1" t="inlineStr">
        <is>
          <t>氏名</t>
        </is>
      </c>
      <c r="C18" s="1" t="inlineStr">
        <is>
          <t>所属</t>
        </is>
      </c>
      <c r="D18" s="1" t="inlineStr">
        <is>
          <t>1月</t>
        </is>
      </c>
      <c r="E18" s="1" t="inlineStr">
        <is>
          <t>2月</t>
        </is>
      </c>
      <c r="F18" s="1" t="inlineStr">
        <is>
          <t>3月</t>
        </is>
      </c>
      <c r="G18" s="1" t="inlineStr">
        <is>
          <t>4月</t>
        </is>
      </c>
      <c r="H18" s="1" t="inlineStr">
        <is>
          <t>5月</t>
        </is>
      </c>
      <c r="I18" s="1" t="inlineStr">
        <is>
          <t>6月</t>
        </is>
      </c>
      <c r="J18" s="1" t="inlineStr">
        <is>
          <t>7月</t>
        </is>
      </c>
      <c r="K18" s="1" t="inlineStr">
        <is>
          <t>8月</t>
        </is>
      </c>
      <c r="L18" s="1" t="inlineStr">
        <is>
          <t>9月</t>
        </is>
      </c>
      <c r="M18" s="1" t="inlineStr">
        <is>
          <t>10月</t>
        </is>
      </c>
      <c r="N18" s="1" t="inlineStr">
        <is>
          <t>11月</t>
        </is>
      </c>
      <c r="O18" s="1" t="inlineStr">
        <is>
          <t>12月</t>
        </is>
      </c>
      <c r="P18" s="18" t="inlineStr">
        <is>
          <t>年間合計</t>
        </is>
      </c>
    </row>
    <row r="19" ht="16" customHeight="1">
      <c r="A19" s="13" t="inlineStr">
        <is>
          <t>001</t>
        </is>
      </c>
      <c r="B19" s="23" t="inlineStr">
        <is>
          <t>山田 太郎</t>
        </is>
      </c>
      <c r="C19" s="23" t="inlineStr">
        <is>
          <t>営業部</t>
        </is>
      </c>
      <c r="D19" s="15">
        <f>IFERROR('1月'!U5,0)</f>
        <v/>
      </c>
      <c r="E19" s="15">
        <f>IFERROR('2月'!U5,0)</f>
        <v/>
      </c>
      <c r="F19" s="15">
        <f>IFERROR('3月'!U5,0)</f>
        <v/>
      </c>
      <c r="G19" s="15">
        <f>IFERROR('4月'!U5,0)</f>
        <v/>
      </c>
      <c r="H19" s="15">
        <f>IFERROR('5月'!U5,0)</f>
        <v/>
      </c>
      <c r="I19" s="15">
        <f>IFERROR('6月'!U5,0)</f>
        <v/>
      </c>
      <c r="J19" s="15">
        <f>IFERROR('7月'!U5,0)</f>
        <v/>
      </c>
      <c r="K19" s="15">
        <f>IFERROR('8月'!U5,0)</f>
        <v/>
      </c>
      <c r="L19" s="15">
        <f>IFERROR('9月'!U5,0)</f>
        <v/>
      </c>
      <c r="M19" s="15">
        <f>IFERROR('10月'!U5,0)</f>
        <v/>
      </c>
      <c r="N19" s="15">
        <f>IFERROR('11月'!U5,0)</f>
        <v/>
      </c>
      <c r="O19" s="15">
        <f>IFERROR('12月'!U5,0)</f>
        <v/>
      </c>
      <c r="P19" s="17">
        <f>IF(A19="","",SUM(D19:O19))</f>
        <v/>
      </c>
    </row>
    <row r="20" ht="16" customHeight="1">
      <c r="A20" s="13" t="inlineStr">
        <is>
          <t>002</t>
        </is>
      </c>
      <c r="B20" s="23" t="inlineStr">
        <is>
          <t>鈴木 花子</t>
        </is>
      </c>
      <c r="C20" s="23" t="inlineStr">
        <is>
          <t>経理部</t>
        </is>
      </c>
      <c r="D20" s="15">
        <f>IFERROR('1月'!U6,0)</f>
        <v/>
      </c>
      <c r="E20" s="15">
        <f>IFERROR('2月'!U6,0)</f>
        <v/>
      </c>
      <c r="F20" s="15">
        <f>IFERROR('3月'!U6,0)</f>
        <v/>
      </c>
      <c r="G20" s="15">
        <f>IFERROR('4月'!U6,0)</f>
        <v/>
      </c>
      <c r="H20" s="15">
        <f>IFERROR('5月'!U6,0)</f>
        <v/>
      </c>
      <c r="I20" s="15">
        <f>IFERROR('6月'!U6,0)</f>
        <v/>
      </c>
      <c r="J20" s="15">
        <f>IFERROR('7月'!U6,0)</f>
        <v/>
      </c>
      <c r="K20" s="15">
        <f>IFERROR('8月'!U6,0)</f>
        <v/>
      </c>
      <c r="L20" s="15">
        <f>IFERROR('9月'!U6,0)</f>
        <v/>
      </c>
      <c r="M20" s="15">
        <f>IFERROR('10月'!U6,0)</f>
        <v/>
      </c>
      <c r="N20" s="15">
        <f>IFERROR('11月'!U6,0)</f>
        <v/>
      </c>
      <c r="O20" s="15">
        <f>IFERROR('12月'!U6,0)</f>
        <v/>
      </c>
      <c r="P20" s="17">
        <f>IF(A20="","",SUM(D20:O20))</f>
        <v/>
      </c>
    </row>
    <row r="21" ht="16" customHeight="1">
      <c r="A21" s="13" t="inlineStr">
        <is>
          <t>003</t>
        </is>
      </c>
      <c r="B21" s="23" t="inlineStr">
        <is>
          <t>田中 一郎</t>
        </is>
      </c>
      <c r="C21" s="23" t="inlineStr">
        <is>
          <t>総務部</t>
        </is>
      </c>
      <c r="D21" s="15">
        <f>IFERROR('1月'!U7,0)</f>
        <v/>
      </c>
      <c r="E21" s="15">
        <f>IFERROR('2月'!U7,0)</f>
        <v/>
      </c>
      <c r="F21" s="15">
        <f>IFERROR('3月'!U7,0)</f>
        <v/>
      </c>
      <c r="G21" s="15">
        <f>IFERROR('4月'!U7,0)</f>
        <v/>
      </c>
      <c r="H21" s="15">
        <f>IFERROR('5月'!U7,0)</f>
        <v/>
      </c>
      <c r="I21" s="15">
        <f>IFERROR('6月'!U7,0)</f>
        <v/>
      </c>
      <c r="J21" s="15">
        <f>IFERROR('7月'!U7,0)</f>
        <v/>
      </c>
      <c r="K21" s="15">
        <f>IFERROR('8月'!U7,0)</f>
        <v/>
      </c>
      <c r="L21" s="15">
        <f>IFERROR('9月'!U7,0)</f>
        <v/>
      </c>
      <c r="M21" s="15">
        <f>IFERROR('10月'!U7,0)</f>
        <v/>
      </c>
      <c r="N21" s="15">
        <f>IFERROR('11月'!U7,0)</f>
        <v/>
      </c>
      <c r="O21" s="15">
        <f>IFERROR('12月'!U7,0)</f>
        <v/>
      </c>
      <c r="P21" s="17">
        <f>IF(A21="","",SUM(D21:O21))</f>
        <v/>
      </c>
    </row>
    <row r="22" ht="16" customHeight="1">
      <c r="A22" s="2" t="n"/>
      <c r="B22" s="23" t="n"/>
      <c r="C22" s="23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7">
        <f>IF(A22="","",SUM(D22:O22))</f>
        <v/>
      </c>
    </row>
    <row r="23" ht="16" customHeight="1">
      <c r="A23" s="2" t="n"/>
      <c r="B23" s="23" t="n"/>
      <c r="C23" s="23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7">
        <f>IF(A23="","",SUM(D23:O23))</f>
        <v/>
      </c>
    </row>
    <row r="24" ht="16" customHeight="1">
      <c r="A24" s="2" t="n"/>
      <c r="B24" s="23" t="n"/>
      <c r="C24" s="23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7">
        <f>IF(A24="","",SUM(D24:O24))</f>
        <v/>
      </c>
    </row>
    <row r="25" ht="16" customHeight="1">
      <c r="A25" s="2" t="n"/>
      <c r="B25" s="23" t="n"/>
      <c r="C25" s="23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7">
        <f>IF(A25="","",SUM(D25:O25))</f>
        <v/>
      </c>
    </row>
    <row r="26" ht="16" customHeight="1">
      <c r="A26" s="2" t="n"/>
      <c r="B26" s="23" t="n"/>
      <c r="C26" s="23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7">
        <f>IF(A26="","",SUM(D26:O26))</f>
        <v/>
      </c>
    </row>
    <row r="27" ht="16" customHeight="1">
      <c r="A27" s="2" t="n"/>
      <c r="B27" s="23" t="n"/>
      <c r="C27" s="23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7">
        <f>IF(A27="","",SUM(D27:O27))</f>
        <v/>
      </c>
    </row>
    <row r="28" ht="16" customHeight="1">
      <c r="A28" s="2" t="n"/>
      <c r="B28" s="23" t="n"/>
      <c r="C28" s="23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7">
        <f>IF(A28="","",SUM(D28:O28))</f>
        <v/>
      </c>
    </row>
    <row r="29" ht="18" customHeight="1">
      <c r="A29" s="18" t="inlineStr">
        <is>
          <t>合　計</t>
        </is>
      </c>
      <c r="D29" s="17">
        <f>SUM(D19:D28)</f>
        <v/>
      </c>
      <c r="E29" s="17">
        <f>SUM(E19:E28)</f>
        <v/>
      </c>
      <c r="F29" s="17">
        <f>SUM(F19:F28)</f>
        <v/>
      </c>
      <c r="G29" s="17">
        <f>SUM(G19:G28)</f>
        <v/>
      </c>
      <c r="H29" s="17">
        <f>SUM(H19:H28)</f>
        <v/>
      </c>
      <c r="I29" s="17">
        <f>SUM(I19:I28)</f>
        <v/>
      </c>
      <c r="J29" s="17">
        <f>SUM(J19:J28)</f>
        <v/>
      </c>
      <c r="K29" s="17">
        <f>SUM(K19:K28)</f>
        <v/>
      </c>
      <c r="L29" s="17">
        <f>SUM(L19:L28)</f>
        <v/>
      </c>
      <c r="M29" s="17">
        <f>SUM(M19:M28)</f>
        <v/>
      </c>
      <c r="N29" s="17">
        <f>SUM(N19:N28)</f>
        <v/>
      </c>
      <c r="O29" s="17">
        <f>SUM(O19:O28)</f>
        <v/>
      </c>
      <c r="P29" s="17">
        <f>SUM(P19:P28)</f>
        <v/>
      </c>
    </row>
    <row r="31" ht="22" customHeight="1">
      <c r="A31" s="25" t="inlineStr">
        <is>
          <t>■ 差引支給額　（単位：円）</t>
        </is>
      </c>
    </row>
    <row r="32" ht="20" customHeight="1">
      <c r="A32" s="1" t="inlineStr">
        <is>
          <t>従業員番号</t>
        </is>
      </c>
      <c r="B32" s="1" t="inlineStr">
        <is>
          <t>氏名</t>
        </is>
      </c>
      <c r="C32" s="1" t="inlineStr">
        <is>
          <t>所属</t>
        </is>
      </c>
      <c r="D32" s="1" t="inlineStr">
        <is>
          <t>1月</t>
        </is>
      </c>
      <c r="E32" s="1" t="inlineStr">
        <is>
          <t>2月</t>
        </is>
      </c>
      <c r="F32" s="1" t="inlineStr">
        <is>
          <t>3月</t>
        </is>
      </c>
      <c r="G32" s="1" t="inlineStr">
        <is>
          <t>4月</t>
        </is>
      </c>
      <c r="H32" s="1" t="inlineStr">
        <is>
          <t>5月</t>
        </is>
      </c>
      <c r="I32" s="1" t="inlineStr">
        <is>
          <t>6月</t>
        </is>
      </c>
      <c r="J32" s="1" t="inlineStr">
        <is>
          <t>7月</t>
        </is>
      </c>
      <c r="K32" s="1" t="inlineStr">
        <is>
          <t>8月</t>
        </is>
      </c>
      <c r="L32" s="1" t="inlineStr">
        <is>
          <t>9月</t>
        </is>
      </c>
      <c r="M32" s="1" t="inlineStr">
        <is>
          <t>10月</t>
        </is>
      </c>
      <c r="N32" s="1" t="inlineStr">
        <is>
          <t>11月</t>
        </is>
      </c>
      <c r="O32" s="1" t="inlineStr">
        <is>
          <t>12月</t>
        </is>
      </c>
      <c r="P32" s="18" t="inlineStr">
        <is>
          <t>年間合計</t>
        </is>
      </c>
    </row>
    <row r="33" ht="16" customHeight="1">
      <c r="A33" s="13" t="inlineStr">
        <is>
          <t>001</t>
        </is>
      </c>
      <c r="B33" s="23" t="inlineStr">
        <is>
          <t>山田 太郎</t>
        </is>
      </c>
      <c r="C33" s="23" t="inlineStr">
        <is>
          <t>営業部</t>
        </is>
      </c>
      <c r="D33" s="15">
        <f>IFERROR('1月'!V5,0)</f>
        <v/>
      </c>
      <c r="E33" s="15">
        <f>IFERROR('2月'!V5,0)</f>
        <v/>
      </c>
      <c r="F33" s="15">
        <f>IFERROR('3月'!V5,0)</f>
        <v/>
      </c>
      <c r="G33" s="15">
        <f>IFERROR('4月'!V5,0)</f>
        <v/>
      </c>
      <c r="H33" s="15">
        <f>IFERROR('5月'!V5,0)</f>
        <v/>
      </c>
      <c r="I33" s="15">
        <f>IFERROR('6月'!V5,0)</f>
        <v/>
      </c>
      <c r="J33" s="15">
        <f>IFERROR('7月'!V5,0)</f>
        <v/>
      </c>
      <c r="K33" s="15">
        <f>IFERROR('8月'!V5,0)</f>
        <v/>
      </c>
      <c r="L33" s="15">
        <f>IFERROR('9月'!V5,0)</f>
        <v/>
      </c>
      <c r="M33" s="15">
        <f>IFERROR('10月'!V5,0)</f>
        <v/>
      </c>
      <c r="N33" s="15">
        <f>IFERROR('11月'!V5,0)</f>
        <v/>
      </c>
      <c r="O33" s="15">
        <f>IFERROR('12月'!V5,0)</f>
        <v/>
      </c>
      <c r="P33" s="17">
        <f>IF(A33="","",SUM(D33:O33))</f>
        <v/>
      </c>
    </row>
    <row r="34" ht="16" customHeight="1">
      <c r="A34" s="13" t="inlineStr">
        <is>
          <t>002</t>
        </is>
      </c>
      <c r="B34" s="23" t="inlineStr">
        <is>
          <t>鈴木 花子</t>
        </is>
      </c>
      <c r="C34" s="23" t="inlineStr">
        <is>
          <t>経理部</t>
        </is>
      </c>
      <c r="D34" s="15">
        <f>IFERROR('1月'!V6,0)</f>
        <v/>
      </c>
      <c r="E34" s="15">
        <f>IFERROR('2月'!V6,0)</f>
        <v/>
      </c>
      <c r="F34" s="15">
        <f>IFERROR('3月'!V6,0)</f>
        <v/>
      </c>
      <c r="G34" s="15">
        <f>IFERROR('4月'!V6,0)</f>
        <v/>
      </c>
      <c r="H34" s="15">
        <f>IFERROR('5月'!V6,0)</f>
        <v/>
      </c>
      <c r="I34" s="15">
        <f>IFERROR('6月'!V6,0)</f>
        <v/>
      </c>
      <c r="J34" s="15">
        <f>IFERROR('7月'!V6,0)</f>
        <v/>
      </c>
      <c r="K34" s="15">
        <f>IFERROR('8月'!V6,0)</f>
        <v/>
      </c>
      <c r="L34" s="15">
        <f>IFERROR('9月'!V6,0)</f>
        <v/>
      </c>
      <c r="M34" s="15">
        <f>IFERROR('10月'!V6,0)</f>
        <v/>
      </c>
      <c r="N34" s="15">
        <f>IFERROR('11月'!V6,0)</f>
        <v/>
      </c>
      <c r="O34" s="15">
        <f>IFERROR('12月'!V6,0)</f>
        <v/>
      </c>
      <c r="P34" s="17">
        <f>IF(A34="","",SUM(D34:O34))</f>
        <v/>
      </c>
    </row>
    <row r="35" ht="16" customHeight="1">
      <c r="A35" s="13" t="inlineStr">
        <is>
          <t>003</t>
        </is>
      </c>
      <c r="B35" s="23" t="inlineStr">
        <is>
          <t>田中 一郎</t>
        </is>
      </c>
      <c r="C35" s="23" t="inlineStr">
        <is>
          <t>総務部</t>
        </is>
      </c>
      <c r="D35" s="15">
        <f>IFERROR('1月'!V7,0)</f>
        <v/>
      </c>
      <c r="E35" s="15">
        <f>IFERROR('2月'!V7,0)</f>
        <v/>
      </c>
      <c r="F35" s="15">
        <f>IFERROR('3月'!V7,0)</f>
        <v/>
      </c>
      <c r="G35" s="15">
        <f>IFERROR('4月'!V7,0)</f>
        <v/>
      </c>
      <c r="H35" s="15">
        <f>IFERROR('5月'!V7,0)</f>
        <v/>
      </c>
      <c r="I35" s="15">
        <f>IFERROR('6月'!V7,0)</f>
        <v/>
      </c>
      <c r="J35" s="15">
        <f>IFERROR('7月'!V7,0)</f>
        <v/>
      </c>
      <c r="K35" s="15">
        <f>IFERROR('8月'!V7,0)</f>
        <v/>
      </c>
      <c r="L35" s="15">
        <f>IFERROR('9月'!V7,0)</f>
        <v/>
      </c>
      <c r="M35" s="15">
        <f>IFERROR('10月'!V7,0)</f>
        <v/>
      </c>
      <c r="N35" s="15">
        <f>IFERROR('11月'!V7,0)</f>
        <v/>
      </c>
      <c r="O35" s="15">
        <f>IFERROR('12月'!V7,0)</f>
        <v/>
      </c>
      <c r="P35" s="17">
        <f>IF(A35="","",SUM(D35:O35))</f>
        <v/>
      </c>
    </row>
    <row r="36" ht="16" customHeight="1">
      <c r="A36" s="2" t="n"/>
      <c r="B36" s="23" t="n"/>
      <c r="C36" s="23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7">
        <f>IF(A36="","",SUM(D36:O36))</f>
        <v/>
      </c>
    </row>
    <row r="37" ht="16" customHeight="1">
      <c r="A37" s="2" t="n"/>
      <c r="B37" s="23" t="n"/>
      <c r="C37" s="23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7">
        <f>IF(A37="","",SUM(D37:O37))</f>
        <v/>
      </c>
    </row>
    <row r="38" ht="16" customHeight="1">
      <c r="A38" s="2" t="n"/>
      <c r="B38" s="23" t="n"/>
      <c r="C38" s="23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7">
        <f>IF(A38="","",SUM(D38:O38))</f>
        <v/>
      </c>
    </row>
    <row r="39" ht="16" customHeight="1">
      <c r="A39" s="2" t="n"/>
      <c r="B39" s="23" t="n"/>
      <c r="C39" s="23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7">
        <f>IF(A39="","",SUM(D39:O39))</f>
        <v/>
      </c>
    </row>
    <row r="40" ht="16" customHeight="1">
      <c r="A40" s="2" t="n"/>
      <c r="B40" s="23" t="n"/>
      <c r="C40" s="23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7">
        <f>IF(A40="","",SUM(D40:O40))</f>
        <v/>
      </c>
    </row>
    <row r="41" ht="16" customHeight="1">
      <c r="A41" s="2" t="n"/>
      <c r="B41" s="23" t="n"/>
      <c r="C41" s="23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7">
        <f>IF(A41="","",SUM(D41:O41))</f>
        <v/>
      </c>
    </row>
    <row r="42" ht="16" customHeight="1">
      <c r="A42" s="2" t="n"/>
      <c r="B42" s="23" t="n"/>
      <c r="C42" s="23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7">
        <f>IF(A42="","",SUM(D42:O42))</f>
        <v/>
      </c>
    </row>
    <row r="43" ht="18" customHeight="1">
      <c r="A43" s="18" t="inlineStr">
        <is>
          <t>合　計</t>
        </is>
      </c>
      <c r="D43" s="17">
        <f>SUM(D33:D42)</f>
        <v/>
      </c>
      <c r="E43" s="17">
        <f>SUM(E33:E42)</f>
        <v/>
      </c>
      <c r="F43" s="17">
        <f>SUM(F33:F42)</f>
        <v/>
      </c>
      <c r="G43" s="17">
        <f>SUM(G33:G42)</f>
        <v/>
      </c>
      <c r="H43" s="17">
        <f>SUM(H33:H42)</f>
        <v/>
      </c>
      <c r="I43" s="17">
        <f>SUM(I33:I42)</f>
        <v/>
      </c>
      <c r="J43" s="17">
        <f>SUM(J33:J42)</f>
        <v/>
      </c>
      <c r="K43" s="17">
        <f>SUM(K33:K42)</f>
        <v/>
      </c>
      <c r="L43" s="17">
        <f>SUM(L33:L42)</f>
        <v/>
      </c>
      <c r="M43" s="17">
        <f>SUM(M33:M42)</f>
        <v/>
      </c>
      <c r="N43" s="17">
        <f>SUM(N33:N42)</f>
        <v/>
      </c>
      <c r="O43" s="17">
        <f>SUM(O33:O42)</f>
        <v/>
      </c>
      <c r="P43" s="17">
        <f>SUM(P33:P42)</f>
        <v/>
      </c>
    </row>
  </sheetData>
  <mergeCells count="8">
    <mergeCell ref="A1:P1"/>
    <mergeCell ref="A17:P17"/>
    <mergeCell ref="A31:P31"/>
    <mergeCell ref="A3:P3"/>
    <mergeCell ref="A15:C15"/>
    <mergeCell ref="A43:C43"/>
    <mergeCell ref="A29:C29"/>
    <mergeCell ref="A2:P2"/>
  </mergeCells>
  <pageMargins left="0.5" right="0.5" top="0.75" bottom="0.7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2026-03-16T06:26:46Z</dcterms:created>
  <dcterms:modified xsi:type="dcterms:W3CDTF">2026-03-16T06:26:47Z</dcterms:modified>
</cp:coreProperties>
</file>